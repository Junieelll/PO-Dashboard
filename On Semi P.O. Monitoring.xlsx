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7770A340-6ACE-4FEE-8D90-BD6EFF856803}" xr6:coauthVersionLast="47" xr6:coauthVersionMax="47" xr10:uidLastSave="{00000000-0000-0000-0000-000000000000}"/>
  <bookViews>
    <workbookView xWindow="-110" yWindow="-110" windowWidth="19420" windowHeight="10420" firstSheet="1" activeTab="5" xr2:uid="{B71A3E29-02E6-4286-9CBB-37582670A935}"/>
  </bookViews>
  <sheets>
    <sheet name="STP SLUDGE" sheetId="1" r:id="rId1"/>
    <sheet name="WW" sheetId="2" r:id="rId2"/>
    <sheet name="B299" sheetId="3" r:id="rId3"/>
    <sheet name="F604" sheetId="4" r:id="rId4"/>
    <sheet name="d407" sheetId="5" r:id="rId5"/>
    <sheet name="M501" sheetId="13" r:id="rId6"/>
    <sheet name="M506" sheetId="9" r:id="rId7"/>
    <sheet name="G704" sheetId="10" r:id="rId8"/>
    <sheet name="I102&amp;I101" sheetId="11" r:id="rId9"/>
    <sheet name="h802" sheetId="14" r:id="rId10"/>
    <sheet name="D499" sheetId="15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4" l="1"/>
  <c r="E25" i="4" s="1"/>
  <c r="E26" i="4" s="1"/>
  <c r="E61" i="1"/>
  <c r="E62" i="1" s="1"/>
  <c r="E63" i="1" s="1"/>
  <c r="E64" i="1" s="1"/>
  <c r="E65" i="1" s="1"/>
  <c r="E15" i="2" l="1"/>
  <c r="E16" i="2" s="1"/>
  <c r="E17" i="2" s="1"/>
  <c r="E18" i="2" s="1"/>
  <c r="E19" i="2" s="1"/>
  <c r="E20" i="2" s="1"/>
  <c r="E21" i="2" s="1"/>
  <c r="E22" i="2" s="1"/>
  <c r="E14" i="2"/>
  <c r="E23" i="4" l="1"/>
  <c r="E30" i="1" l="1"/>
  <c r="E31" i="1" s="1"/>
  <c r="E32" i="1" s="1"/>
  <c r="E47" i="1" l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41" i="1" l="1"/>
  <c r="E42" i="1" s="1"/>
  <c r="E43" i="1" s="1"/>
  <c r="E44" i="1" s="1"/>
  <c r="E45" i="1" s="1"/>
  <c r="E46" i="1" s="1"/>
  <c r="E29" i="1" l="1"/>
  <c r="E36" i="1" l="1"/>
  <c r="E37" i="1" s="1"/>
  <c r="E38" i="1" s="1"/>
  <c r="E39" i="1" s="1"/>
  <c r="E40" i="1" s="1"/>
  <c r="E17" i="1"/>
  <c r="E18" i="1" s="1"/>
  <c r="E19" i="1" s="1"/>
  <c r="E20" i="1" s="1"/>
  <c r="E21" i="1" s="1"/>
  <c r="E16" i="1"/>
  <c r="C9" i="4" l="1"/>
  <c r="E4" i="15" l="1"/>
  <c r="E5" i="15" s="1"/>
  <c r="E6" i="15" s="1"/>
  <c r="E7" i="15" s="1"/>
  <c r="E8" i="15" s="1"/>
  <c r="E9" i="15" s="1"/>
  <c r="E10" i="15" s="1"/>
  <c r="E11" i="15" s="1"/>
  <c r="E12" i="15" s="1"/>
  <c r="E13" i="15" s="1"/>
  <c r="E6" i="3"/>
  <c r="E7" i="3" s="1"/>
  <c r="E8" i="3" s="1"/>
  <c r="E9" i="3" s="1"/>
  <c r="E10" i="3" s="1"/>
  <c r="E11" i="3" s="1"/>
  <c r="E12" i="3" s="1"/>
  <c r="E13" i="3" s="1"/>
  <c r="E4" i="14"/>
  <c r="E5" i="14" s="1"/>
  <c r="E6" i="14" s="1"/>
  <c r="E7" i="14" s="1"/>
  <c r="E8" i="14" s="1"/>
  <c r="E9" i="14" s="1"/>
  <c r="E10" i="14" s="1"/>
  <c r="E11" i="14" s="1"/>
  <c r="E12" i="14" s="1"/>
  <c r="E13" i="14" s="1"/>
  <c r="E4" i="13"/>
  <c r="E5" i="13" s="1"/>
  <c r="E6" i="13" s="1"/>
  <c r="E7" i="13" s="1"/>
  <c r="E8" i="13" s="1"/>
  <c r="E9" i="13" s="1"/>
  <c r="E10" i="13" s="1"/>
  <c r="E11" i="13" s="1"/>
  <c r="E12" i="13" s="1"/>
  <c r="E13" i="13" s="1"/>
  <c r="E4" i="11"/>
  <c r="E5" i="11" s="1"/>
  <c r="E6" i="11" s="1"/>
  <c r="E7" i="11" s="1"/>
  <c r="E8" i="11" s="1"/>
  <c r="E9" i="11" s="1"/>
  <c r="E10" i="11" s="1"/>
  <c r="E11" i="11" s="1"/>
  <c r="E12" i="11" s="1"/>
  <c r="E13" i="11" s="1"/>
  <c r="E4" i="10"/>
  <c r="E4" i="9"/>
  <c r="E5" i="9" s="1"/>
  <c r="E6" i="9" s="1"/>
  <c r="E7" i="9" s="1"/>
  <c r="E8" i="9" s="1"/>
  <c r="E9" i="9" s="1"/>
  <c r="E10" i="9" s="1"/>
  <c r="E11" i="9" s="1"/>
  <c r="E12" i="9" s="1"/>
  <c r="E13" i="9" s="1"/>
  <c r="E4" i="5"/>
  <c r="E5" i="5" s="1"/>
  <c r="E6" i="5" s="1"/>
  <c r="E7" i="5" s="1"/>
  <c r="E8" i="5" s="1"/>
  <c r="E9" i="5" s="1"/>
  <c r="E10" i="5" s="1"/>
  <c r="E11" i="5" s="1"/>
  <c r="E12" i="5" s="1"/>
  <c r="E13" i="5" s="1"/>
  <c r="E4" i="4"/>
  <c r="E5" i="4" s="1"/>
  <c r="E6" i="4" s="1"/>
  <c r="E7" i="4" s="1"/>
  <c r="E8" i="4" s="1"/>
  <c r="E9" i="4" s="1"/>
  <c r="E10" i="4" s="1"/>
  <c r="E5" i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22" i="1" s="1"/>
  <c r="E5" i="3"/>
  <c r="E4" i="3"/>
  <c r="E4" i="2"/>
  <c r="E5" i="2" s="1"/>
  <c r="E6" i="2" s="1"/>
  <c r="E7" i="2" s="1"/>
  <c r="E8" i="2" s="1"/>
  <c r="E9" i="2" s="1"/>
  <c r="E10" i="2" s="1"/>
  <c r="E11" i="2" s="1"/>
  <c r="E12" i="2" s="1"/>
  <c r="E13" i="2" s="1"/>
  <c r="E5" i="10" l="1"/>
  <c r="E6" i="10" s="1"/>
  <c r="E7" i="10" s="1"/>
  <c r="E8" i="10" s="1"/>
  <c r="E9" i="10" s="1"/>
  <c r="E10" i="10" s="1"/>
  <c r="E11" i="10" s="1"/>
  <c r="E12" i="10" s="1"/>
  <c r="E13" i="10" s="1"/>
  <c r="E23" i="1"/>
  <c r="E24" i="1" s="1"/>
  <c r="E25" i="1" s="1"/>
  <c r="E26" i="1" s="1"/>
  <c r="E27" i="1" s="1"/>
  <c r="E28" i="1" s="1"/>
  <c r="E11" i="4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</calcChain>
</file>

<file path=xl/sharedStrings.xml><?xml version="1.0" encoding="utf-8"?>
<sst xmlns="http://schemas.openxmlformats.org/spreadsheetml/2006/main" count="110" uniqueCount="47">
  <si>
    <t>STP SLUDGE</t>
  </si>
  <si>
    <t>P.O. No.</t>
  </si>
  <si>
    <t>Hauling Date</t>
  </si>
  <si>
    <t>Quantity</t>
  </si>
  <si>
    <t>Running Balance</t>
  </si>
  <si>
    <t>CONCENTRATED WASTEWATER</t>
  </si>
  <si>
    <t>B299 OTHER ACID WASTE</t>
  </si>
  <si>
    <t>06.05.2025</t>
  </si>
  <si>
    <t>06.10.2025</t>
  </si>
  <si>
    <t>06.19.2025</t>
  </si>
  <si>
    <t>06.20.2025</t>
  </si>
  <si>
    <t>06.25.2025</t>
  </si>
  <si>
    <t>07.03.2025</t>
  </si>
  <si>
    <t>07.15.2025</t>
  </si>
  <si>
    <t>07.18.2025</t>
  </si>
  <si>
    <t>7.03.2025</t>
  </si>
  <si>
    <t>21208697</t>
  </si>
  <si>
    <t>21208720</t>
  </si>
  <si>
    <t>F604</t>
  </si>
  <si>
    <t>D407</t>
  </si>
  <si>
    <t>M506</t>
  </si>
  <si>
    <t>MOLD RUNNER</t>
  </si>
  <si>
    <t>COOKING OIL</t>
  </si>
  <si>
    <t>M501</t>
  </si>
  <si>
    <t>PATHOLOGICAL WASTE</t>
  </si>
  <si>
    <t>G704</t>
  </si>
  <si>
    <t>H802</t>
  </si>
  <si>
    <t>GREASE WASTE</t>
  </si>
  <si>
    <t>.</t>
  </si>
  <si>
    <t>Invoice No.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</si>
  <si>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</si>
  <si>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Rugs w/ Solvent</t>
  </si>
  <si>
    <t>Used Solvent</t>
  </si>
  <si>
    <t>WEEEE</t>
  </si>
  <si>
    <t>08.20.2025</t>
  </si>
  <si>
    <t>Invoicer No.</t>
  </si>
  <si>
    <t>Ewaste</t>
  </si>
  <si>
    <t>10/17/2025</t>
  </si>
  <si>
    <t xml:space="preserve"> </t>
  </si>
  <si>
    <t>12/17/2025</t>
  </si>
  <si>
    <t>12.17.2025</t>
  </si>
  <si>
    <t>NO P.O. AS PER S' ART 01/27/2025 PHONECALL</t>
  </si>
  <si>
    <t>I102</t>
  </si>
  <si>
    <t>01/19/2026</t>
  </si>
  <si>
    <t>01/21/2026</t>
  </si>
  <si>
    <t>01/22/2026</t>
  </si>
  <si>
    <t>01/23/2026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</si>
</sst>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1" xfId="1" applyNumberFormat="1" applyFont="1" applyBorder="1" applyAlignment="1">
      <alignment horizontal="left"/>
    </xf>
    <xf numFmtId="43" fontId="0" fillId="0" borderId="1" xfId="1" applyFont="1" applyBorder="1" applyAlignment="1">
      <alignment horizontal="center"/>
    </xf>
    <xf numFmtId="0" fontId="0" fillId="0" borderId="1" xfId="0" quotePrefix="1" applyBorder="1" applyAlignment="1">
      <alignment horizontal="center"/>
    </xf>
    <xf numFmtId="164" fontId="0" fillId="0" borderId="0" xfId="0" applyNumberFormat="1"/>
    <xf numFmtId="14" fontId="0" fillId="0" borderId="1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43" fontId="3" fillId="0" borderId="1" xfId="1" applyFont="1" applyBorder="1" applyAlignment="1">
      <alignment horizontal="center"/>
    </xf>
    <xf numFmtId="1" fontId="2" fillId="0" borderId="0" xfId="0" applyNumberFormat="1" applyFont="1"/>
    <xf numFmtId="1" fontId="2" fillId="0" borderId="1" xfId="0" applyNumberFormat="1" applyFont="1" applyBorder="1" applyAlignment="1">
      <alignment horizontal="center"/>
    </xf>
    <xf numFmtId="1" fontId="0" fillId="0" borderId="0" xfId="0" applyNumberFormat="1"/>
    <xf numFmtId="0" fontId="0" fillId="0" borderId="2" xfId="0" applyBorder="1" applyAlignment="1">
      <alignment horizontal="center"/>
    </xf>
    <xf numFmtId="1" fontId="0" fillId="0" borderId="1" xfId="0" applyNumberFormat="1" applyBorder="1"/>
    <xf numFmtId="14" fontId="0" fillId="0" borderId="0" xfId="0" applyNumberFormat="1"/>
    <xf numFmtId="43" fontId="4" fillId="0" borderId="1" xfId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D9D93-52F7-452C-9342-B7A6C56CA89D}">
  <sheetPr codeName="Sheet1"/>
  <dimension ref="A1:M116"/>
  <sheetViews>
    <sheetView topLeftCell="A67" zoomScale="130" zoomScaleNormal="130" workbookViewId="0">
      <selection activeCell="E63" sqref="E63"/>
    </sheetView>
  </sheetViews>
  <sheetFormatPr defaultRowHeight="14.5" x14ac:dyDescent="0.35"/>
  <cols>
    <col min="1" max="1" width="14.54296875" style="5" customWidth="1"/>
    <col min="2" max="2" width="12.7265625" style="5" customWidth="1"/>
    <col min="3" max="3" width="11.36328125" style="11" customWidth="1"/>
    <col min="4" max="4" width="11.453125" style="5" bestFit="1" customWidth="1"/>
    <col min="5" max="5" width="14.6328125" style="5" bestFit="1" customWidth="1"/>
    <col min="6" max="6" width="10.453125" style="5" bestFit="1" customWidth="1"/>
  </cols>
  <sheetData>
    <row r="1" spans="1:9" x14ac:dyDescent="0.35">
      <c r="A1" s="28" t="s">
        <v>41</v>
      </c>
      <c r="B1" s="28"/>
      <c r="C1" s="28"/>
      <c r="D1" s="28"/>
      <c r="E1" s="28"/>
      <c r="F1" s="28"/>
    </row>
    <row r="2" spans="1:9" x14ac:dyDescent="0.35">
      <c r="A2" s="27" t="s">
        <v>0</v>
      </c>
      <c r="B2" s="27"/>
      <c r="C2" s="27"/>
      <c r="D2" s="27"/>
      <c r="E2" s="27"/>
    </row>
    <row r="3" spans="1:9" x14ac:dyDescent="0.35">
      <c r="A3" s="4"/>
      <c r="C3" s="11">
        <v>8</v>
      </c>
    </row>
    <row r="4" spans="1:9" x14ac:dyDescent="0.35">
      <c r="A4" s="2" t="s">
        <v>1</v>
      </c>
      <c r="B4" s="2"/>
      <c r="C4" s="12" t="s">
        <v>3</v>
      </c>
      <c r="D4" s="2" t="s">
        <v>2</v>
      </c>
      <c r="E4" s="2" t="s">
        <v>4</v>
      </c>
      <c r="F4" s="2" t="s">
        <v>29</v>
      </c>
    </row>
    <row r="5" spans="1:9" x14ac:dyDescent="0.35">
      <c r="A5" s="8" t="s">
        <v>17</v>
      </c>
      <c r="B5" s="6">
        <v>200000</v>
      </c>
      <c r="C5" s="13">
        <v>12000</v>
      </c>
      <c r="D5" s="3" t="s">
        <v>7</v>
      </c>
      <c r="E5" s="7">
        <f>SUM(B5-C5)</f>
        <v>188000</v>
      </c>
      <c r="F5" s="3">
        <v>193</v>
      </c>
    </row>
    <row r="6" spans="1:9" x14ac:dyDescent="0.35">
      <c r="A6" s="3"/>
      <c r="B6" s="3"/>
      <c r="C6" s="13">
        <v>10000</v>
      </c>
      <c r="D6" s="3" t="s">
        <v>7</v>
      </c>
      <c r="E6" s="7">
        <f>SUM(E5-C6)</f>
        <v>178000</v>
      </c>
      <c r="F6" s="3">
        <v>193</v>
      </c>
    </row>
    <row r="7" spans="1:9" x14ac:dyDescent="0.35">
      <c r="A7" s="3"/>
      <c r="B7" s="3"/>
      <c r="C7" s="13">
        <v>1539.5</v>
      </c>
      <c r="D7" s="3" t="s">
        <v>8</v>
      </c>
      <c r="E7" s="7">
        <f>SUM(E6-C7)</f>
        <v>176460.5</v>
      </c>
      <c r="F7" s="3">
        <v>204</v>
      </c>
    </row>
    <row r="8" spans="1:9" x14ac:dyDescent="0.35">
      <c r="A8" s="3"/>
      <c r="B8" s="3"/>
      <c r="C8" s="13">
        <v>3412</v>
      </c>
      <c r="D8" s="3" t="s">
        <v>9</v>
      </c>
      <c r="E8" s="7">
        <f>SUM(E7-C8)</f>
        <v>173048.5</v>
      </c>
      <c r="F8" s="3">
        <v>195</v>
      </c>
      <c r="I8" s="9"/>
    </row>
    <row r="9" spans="1:9" x14ac:dyDescent="0.35">
      <c r="A9" s="3"/>
      <c r="B9" s="3"/>
      <c r="C9" s="13">
        <v>12000</v>
      </c>
      <c r="D9" s="3" t="s">
        <v>10</v>
      </c>
      <c r="E9" s="7">
        <f>SUM(E8-C9)</f>
        <v>161048.5</v>
      </c>
      <c r="F9" s="3">
        <v>196</v>
      </c>
    </row>
    <row r="10" spans="1:9" x14ac:dyDescent="0.35">
      <c r="A10" s="3"/>
      <c r="B10" s="3"/>
      <c r="C10" s="13">
        <v>10000</v>
      </c>
      <c r="D10" s="3" t="s">
        <v>10</v>
      </c>
      <c r="E10" s="7">
        <f t="shared" ref="E10:E14" si="0">SUM(E9-C10)</f>
        <v>151048.5</v>
      </c>
      <c r="F10" s="3">
        <v>196</v>
      </c>
    </row>
    <row r="11" spans="1:9" x14ac:dyDescent="0.35">
      <c r="A11" s="3"/>
      <c r="B11" s="3"/>
      <c r="C11" s="13">
        <v>1210</v>
      </c>
      <c r="D11" s="3" t="s">
        <v>11</v>
      </c>
      <c r="E11" s="7">
        <f t="shared" si="0"/>
        <v>149838.5</v>
      </c>
      <c r="F11" s="3">
        <v>197</v>
      </c>
    </row>
    <row r="12" spans="1:9" x14ac:dyDescent="0.35">
      <c r="A12" s="3"/>
      <c r="B12" s="3"/>
      <c r="C12" s="13">
        <v>10000</v>
      </c>
      <c r="D12" s="3" t="s">
        <v>12</v>
      </c>
      <c r="E12" s="7">
        <f t="shared" si="0"/>
        <v>139838.5</v>
      </c>
      <c r="F12" s="3">
        <v>229</v>
      </c>
    </row>
    <row r="13" spans="1:9" x14ac:dyDescent="0.35">
      <c r="A13" s="3"/>
      <c r="B13" s="3"/>
      <c r="C13" s="13">
        <v>7000</v>
      </c>
      <c r="D13" s="3" t="s">
        <v>12</v>
      </c>
      <c r="E13" s="7">
        <f t="shared" si="0"/>
        <v>132838.5</v>
      </c>
      <c r="F13" s="3">
        <v>229</v>
      </c>
    </row>
    <row r="14" spans="1:9" x14ac:dyDescent="0.35">
      <c r="A14" s="3"/>
      <c r="B14" s="3"/>
      <c r="C14" s="13">
        <v>5298</v>
      </c>
      <c r="D14" s="3" t="s">
        <v>13</v>
      </c>
      <c r="E14" s="7">
        <f t="shared" si="0"/>
        <v>127540.5</v>
      </c>
      <c r="F14" s="3">
        <v>199</v>
      </c>
    </row>
    <row r="15" spans="1:9" x14ac:dyDescent="0.35">
      <c r="A15" s="3"/>
      <c r="B15" s="3"/>
      <c r="C15" s="13">
        <v>7000</v>
      </c>
      <c r="D15" s="3" t="s">
        <v>14</v>
      </c>
      <c r="E15" s="7">
        <f>SUM(E14-C15)</f>
        <v>120540.5</v>
      </c>
      <c r="F15" s="3">
        <v>200</v>
      </c>
    </row>
    <row r="16" spans="1:9" x14ac:dyDescent="0.35">
      <c r="A16" s="3"/>
      <c r="B16" s="3"/>
      <c r="C16" s="13">
        <v>467</v>
      </c>
      <c r="D16" s="10">
        <v>45884</v>
      </c>
      <c r="E16" s="7">
        <f t="shared" ref="E16:E21" si="1">SUM(E15-C16)</f>
        <v>120073.5</v>
      </c>
      <c r="F16" s="3">
        <v>255</v>
      </c>
    </row>
    <row r="17" spans="1:13" x14ac:dyDescent="0.35">
      <c r="A17" s="3"/>
      <c r="B17" s="3"/>
      <c r="C17" s="13">
        <v>12000</v>
      </c>
      <c r="D17" s="10">
        <v>45888</v>
      </c>
      <c r="E17" s="7">
        <f t="shared" si="1"/>
        <v>108073.5</v>
      </c>
      <c r="F17" s="3">
        <v>256</v>
      </c>
    </row>
    <row r="18" spans="1:13" x14ac:dyDescent="0.35">
      <c r="A18" s="3"/>
      <c r="B18" s="3"/>
      <c r="C18" s="13">
        <v>6732</v>
      </c>
      <c r="D18" s="10">
        <v>45889</v>
      </c>
      <c r="E18" s="7">
        <f t="shared" si="1"/>
        <v>101341.5</v>
      </c>
      <c r="F18" s="3">
        <v>267</v>
      </c>
    </row>
    <row r="19" spans="1:13" x14ac:dyDescent="0.35">
      <c r="A19" s="3"/>
      <c r="B19" s="3"/>
      <c r="C19" s="13">
        <v>12000</v>
      </c>
      <c r="D19" s="10">
        <v>45891</v>
      </c>
      <c r="E19" s="7">
        <f t="shared" si="1"/>
        <v>89341.5</v>
      </c>
      <c r="F19" s="3">
        <v>271</v>
      </c>
    </row>
    <row r="20" spans="1:13" x14ac:dyDescent="0.35">
      <c r="A20" s="3"/>
      <c r="B20" s="3"/>
      <c r="C20" s="13">
        <v>3000</v>
      </c>
      <c r="D20" s="10">
        <v>45891</v>
      </c>
      <c r="E20" s="7">
        <f t="shared" si="1"/>
        <v>86341.5</v>
      </c>
      <c r="F20" s="3">
        <v>271</v>
      </c>
    </row>
    <row r="21" spans="1:13" x14ac:dyDescent="0.35">
      <c r="A21" s="3"/>
      <c r="B21" s="3"/>
      <c r="C21" s="13">
        <v>10000</v>
      </c>
      <c r="D21" s="10">
        <v>45898</v>
      </c>
      <c r="E21" s="7">
        <f t="shared" si="1"/>
        <v>76341.5</v>
      </c>
      <c r="F21" s="3">
        <v>270</v>
      </c>
    </row>
    <row r="22" spans="1:13" x14ac:dyDescent="0.35">
      <c r="A22" s="3"/>
      <c r="B22" s="3"/>
      <c r="C22" s="13">
        <v>12000</v>
      </c>
      <c r="D22" s="10">
        <v>45898</v>
      </c>
      <c r="E22" s="7">
        <f t="shared" ref="E22" si="2">SUM(E21-C22)</f>
        <v>64341.5</v>
      </c>
      <c r="F22" s="3">
        <v>270</v>
      </c>
    </row>
    <row r="23" spans="1:13" x14ac:dyDescent="0.35">
      <c r="A23" s="3"/>
      <c r="B23" s="3"/>
      <c r="C23" s="13">
        <v>12000</v>
      </c>
      <c r="D23" s="10">
        <v>45902</v>
      </c>
      <c r="E23" s="7">
        <f>SUM(E22-C23)</f>
        <v>52341.5</v>
      </c>
      <c r="F23" s="3">
        <v>360</v>
      </c>
    </row>
    <row r="24" spans="1:13" x14ac:dyDescent="0.35">
      <c r="A24" s="3"/>
      <c r="B24" s="3"/>
      <c r="C24" s="13">
        <v>12000</v>
      </c>
      <c r="D24" s="10">
        <v>45902</v>
      </c>
      <c r="E24" s="7">
        <f t="shared" ref="E24:E26" si="3">SUM(E23-C24)</f>
        <v>40341.5</v>
      </c>
      <c r="F24" s="3">
        <v>361</v>
      </c>
      <c r="I24" t="s">
        <v>38</v>
      </c>
    </row>
    <row r="25" spans="1:13" x14ac:dyDescent="0.35">
      <c r="A25" s="3"/>
      <c r="B25" s="3"/>
      <c r="C25" s="13">
        <v>12000</v>
      </c>
      <c r="D25" s="10">
        <v>45905</v>
      </c>
      <c r="E25" s="7">
        <f t="shared" si="3"/>
        <v>28341.5</v>
      </c>
      <c r="F25" s="3">
        <v>362</v>
      </c>
    </row>
    <row r="26" spans="1:13" x14ac:dyDescent="0.35">
      <c r="A26" s="3"/>
      <c r="B26" s="3"/>
      <c r="C26" s="13">
        <v>3000</v>
      </c>
      <c r="D26" s="10">
        <v>45905</v>
      </c>
      <c r="E26" s="7">
        <f t="shared" si="3"/>
        <v>25341.5</v>
      </c>
      <c r="F26" s="3">
        <v>363</v>
      </c>
    </row>
    <row r="27" spans="1:13" x14ac:dyDescent="0.35">
      <c r="A27" s="3"/>
      <c r="B27" s="3"/>
      <c r="C27" s="13">
        <v>10000</v>
      </c>
      <c r="D27" s="10">
        <v>45909</v>
      </c>
      <c r="E27" s="7">
        <f t="shared" ref="E27" si="4">SUM(E26-C27)</f>
        <v>15341.5</v>
      </c>
      <c r="F27" s="3">
        <v>364</v>
      </c>
      <c r="K27" t="s">
        <v>28</v>
      </c>
      <c r="M27" t="s">
        <v>28</v>
      </c>
    </row>
    <row r="28" spans="1:13" x14ac:dyDescent="0.35">
      <c r="A28" s="3"/>
      <c r="B28" s="3"/>
      <c r="C28" s="13">
        <v>4000</v>
      </c>
      <c r="D28" s="10">
        <v>45909</v>
      </c>
      <c r="E28" s="7">
        <f t="shared" ref="E28:E32" si="5">SUM(E27-C28)</f>
        <v>11341.5</v>
      </c>
      <c r="F28" s="3">
        <v>365</v>
      </c>
    </row>
    <row r="29" spans="1:13" x14ac:dyDescent="0.35">
      <c r="A29" s="16"/>
      <c r="B29" s="16"/>
      <c r="C29" s="17">
        <v>1841</v>
      </c>
      <c r="D29" s="18" t="s">
        <v>37</v>
      </c>
      <c r="E29" s="7">
        <f t="shared" si="5"/>
        <v>9500.5</v>
      </c>
      <c r="F29" s="16">
        <v>654</v>
      </c>
      <c r="I29" t="s">
        <v>30</v>
      </c>
    </row>
    <row r="30" spans="1:13" x14ac:dyDescent="0.35">
      <c r="A30" s="16"/>
      <c r="B30" s="16"/>
      <c r="C30" s="17">
        <v>1066</v>
      </c>
      <c r="D30" s="18">
        <v>45728</v>
      </c>
      <c r="E30" s="7">
        <f t="shared" si="5"/>
        <v>8434.5</v>
      </c>
      <c r="F30" s="16">
        <v>659</v>
      </c>
    </row>
    <row r="31" spans="1:13" x14ac:dyDescent="0.35">
      <c r="A31" s="16"/>
      <c r="B31" s="16"/>
      <c r="C31" s="17"/>
      <c r="D31" s="18"/>
      <c r="E31" s="7">
        <f t="shared" si="5"/>
        <v>8434.5</v>
      </c>
      <c r="F31" s="16"/>
    </row>
    <row r="32" spans="1:13" x14ac:dyDescent="0.35">
      <c r="A32" s="16"/>
      <c r="B32" s="16"/>
      <c r="C32" s="17"/>
      <c r="D32" s="18"/>
      <c r="E32" s="7">
        <f t="shared" si="5"/>
        <v>8434.5</v>
      </c>
      <c r="F32" s="16"/>
    </row>
    <row r="33" spans="1:6" x14ac:dyDescent="0.35">
      <c r="A33" s="16"/>
      <c r="B33" s="16"/>
      <c r="C33" s="17"/>
      <c r="D33" s="18"/>
      <c r="E33" s="19"/>
      <c r="F33" s="16"/>
    </row>
    <row r="36" spans="1:6" x14ac:dyDescent="0.35">
      <c r="A36" s="14">
        <v>561000000823</v>
      </c>
      <c r="B36" s="3">
        <v>240000</v>
      </c>
      <c r="C36" s="17">
        <v>12000</v>
      </c>
      <c r="D36" s="18">
        <v>45911</v>
      </c>
      <c r="E36" s="19">
        <f>SUM(B36-C36)</f>
        <v>228000</v>
      </c>
      <c r="F36" s="3">
        <v>366</v>
      </c>
    </row>
    <row r="37" spans="1:6" x14ac:dyDescent="0.35">
      <c r="A37" s="3"/>
      <c r="B37" s="3"/>
      <c r="C37" s="17">
        <v>4000</v>
      </c>
      <c r="D37" s="18">
        <v>45911</v>
      </c>
      <c r="E37" s="19">
        <f t="shared" ref="E37:E65" si="6">SUM(E36-C37)</f>
        <v>224000</v>
      </c>
      <c r="F37" s="3">
        <v>367</v>
      </c>
    </row>
    <row r="38" spans="1:6" x14ac:dyDescent="0.35">
      <c r="A38" s="3"/>
      <c r="B38" s="3"/>
      <c r="C38" s="17">
        <v>12000</v>
      </c>
      <c r="D38" s="18">
        <v>45918</v>
      </c>
      <c r="E38" s="19">
        <f t="shared" si="6"/>
        <v>212000</v>
      </c>
      <c r="F38" s="3">
        <v>374</v>
      </c>
    </row>
    <row r="39" spans="1:6" x14ac:dyDescent="0.35">
      <c r="A39" s="3"/>
      <c r="B39" s="3"/>
      <c r="C39" s="17">
        <v>2000</v>
      </c>
      <c r="D39" s="18">
        <v>45918</v>
      </c>
      <c r="E39" s="19">
        <f t="shared" si="6"/>
        <v>210000</v>
      </c>
      <c r="F39" s="3">
        <v>375</v>
      </c>
    </row>
    <row r="40" spans="1:6" x14ac:dyDescent="0.35">
      <c r="A40" s="3"/>
      <c r="B40" s="3"/>
      <c r="C40" s="17">
        <v>12000</v>
      </c>
      <c r="D40" s="18">
        <v>45926</v>
      </c>
      <c r="E40" s="19">
        <f t="shared" si="6"/>
        <v>198000</v>
      </c>
      <c r="F40" s="3">
        <v>376</v>
      </c>
    </row>
    <row r="41" spans="1:6" x14ac:dyDescent="0.35">
      <c r="A41" s="3"/>
      <c r="B41" s="3"/>
      <c r="C41" s="13">
        <v>2923</v>
      </c>
      <c r="D41" s="10">
        <v>45926</v>
      </c>
      <c r="E41" s="19">
        <f t="shared" si="6"/>
        <v>195077</v>
      </c>
      <c r="F41" s="3">
        <v>377</v>
      </c>
    </row>
    <row r="42" spans="1:6" x14ac:dyDescent="0.35">
      <c r="A42" s="3"/>
      <c r="B42" s="3"/>
      <c r="C42" s="13">
        <v>12000</v>
      </c>
      <c r="D42" s="10">
        <v>45932</v>
      </c>
      <c r="E42" s="19">
        <f t="shared" si="6"/>
        <v>183077</v>
      </c>
      <c r="F42" s="3">
        <v>378</v>
      </c>
    </row>
    <row r="43" spans="1:6" x14ac:dyDescent="0.35">
      <c r="A43" s="3"/>
      <c r="B43" s="3"/>
      <c r="C43" s="13">
        <v>268</v>
      </c>
      <c r="D43" s="10">
        <v>45932</v>
      </c>
      <c r="E43" s="19">
        <f t="shared" si="6"/>
        <v>182809</v>
      </c>
      <c r="F43" s="3">
        <v>380</v>
      </c>
    </row>
    <row r="44" spans="1:6" x14ac:dyDescent="0.35">
      <c r="A44" s="3"/>
      <c r="B44" s="3"/>
      <c r="C44" s="13">
        <v>1073</v>
      </c>
      <c r="D44" s="10">
        <v>45937</v>
      </c>
      <c r="E44" s="19">
        <f t="shared" si="6"/>
        <v>181736</v>
      </c>
      <c r="F44" s="3">
        <v>381</v>
      </c>
    </row>
    <row r="45" spans="1:6" x14ac:dyDescent="0.35">
      <c r="A45" s="3"/>
      <c r="B45" s="3"/>
      <c r="C45" s="13">
        <v>12000</v>
      </c>
      <c r="D45" s="10">
        <v>45939</v>
      </c>
      <c r="E45" s="19">
        <f t="shared" si="6"/>
        <v>169736</v>
      </c>
      <c r="F45" s="3">
        <v>382</v>
      </c>
    </row>
    <row r="46" spans="1:6" x14ac:dyDescent="0.35">
      <c r="A46" s="3"/>
      <c r="B46" s="3"/>
      <c r="C46" s="13">
        <v>10000</v>
      </c>
      <c r="D46" s="10">
        <v>45939</v>
      </c>
      <c r="E46" s="19">
        <f t="shared" si="6"/>
        <v>159736</v>
      </c>
      <c r="F46" s="3">
        <v>383</v>
      </c>
    </row>
    <row r="47" spans="1:6" x14ac:dyDescent="0.35">
      <c r="A47" s="3"/>
      <c r="B47" s="3"/>
      <c r="C47" s="13">
        <v>12000</v>
      </c>
      <c r="D47" s="3" t="s">
        <v>37</v>
      </c>
      <c r="E47" s="19">
        <f t="shared" si="6"/>
        <v>147736</v>
      </c>
      <c r="F47" s="3">
        <v>651</v>
      </c>
    </row>
    <row r="48" spans="1:6" x14ac:dyDescent="0.35">
      <c r="A48" s="3"/>
      <c r="B48" s="3"/>
      <c r="C48" s="13">
        <v>12000</v>
      </c>
      <c r="D48" s="10">
        <v>45669</v>
      </c>
      <c r="E48" s="19">
        <f t="shared" si="6"/>
        <v>135736</v>
      </c>
      <c r="F48" s="3">
        <v>655</v>
      </c>
    </row>
    <row r="49" spans="1:6" x14ac:dyDescent="0.35">
      <c r="A49" s="3"/>
      <c r="B49" s="3"/>
      <c r="C49" s="13">
        <v>10000</v>
      </c>
      <c r="D49" s="10">
        <v>45669</v>
      </c>
      <c r="E49" s="19">
        <f t="shared" si="6"/>
        <v>125736</v>
      </c>
      <c r="F49" s="3">
        <v>656</v>
      </c>
    </row>
    <row r="50" spans="1:6" x14ac:dyDescent="0.35">
      <c r="A50" s="3"/>
      <c r="B50" s="3"/>
      <c r="C50" s="13">
        <v>12000</v>
      </c>
      <c r="D50" s="10">
        <v>45700</v>
      </c>
      <c r="E50" s="19">
        <f t="shared" si="6"/>
        <v>113736</v>
      </c>
      <c r="F50" s="3">
        <v>657</v>
      </c>
    </row>
    <row r="51" spans="1:6" x14ac:dyDescent="0.35">
      <c r="A51" s="3"/>
      <c r="B51" s="3"/>
      <c r="C51" s="13">
        <v>10000</v>
      </c>
      <c r="D51" s="10">
        <v>45700</v>
      </c>
      <c r="E51" s="19">
        <f t="shared" si="6"/>
        <v>103736</v>
      </c>
      <c r="F51" s="3">
        <v>658</v>
      </c>
    </row>
    <row r="52" spans="1:6" x14ac:dyDescent="0.35">
      <c r="A52" s="3"/>
      <c r="B52" s="3"/>
      <c r="C52" s="13">
        <v>12000</v>
      </c>
      <c r="D52" s="10">
        <v>45759</v>
      </c>
      <c r="E52" s="19">
        <f t="shared" si="6"/>
        <v>91736</v>
      </c>
      <c r="F52" s="3">
        <v>660</v>
      </c>
    </row>
    <row r="53" spans="1:6" x14ac:dyDescent="0.35">
      <c r="A53" s="3"/>
      <c r="B53" s="3"/>
      <c r="C53" s="13">
        <v>10000</v>
      </c>
      <c r="D53" s="10">
        <v>45759</v>
      </c>
      <c r="E53" s="19">
        <f t="shared" si="6"/>
        <v>81736</v>
      </c>
      <c r="F53" s="3">
        <v>661</v>
      </c>
    </row>
    <row r="54" spans="1:6" x14ac:dyDescent="0.35">
      <c r="A54" s="3"/>
      <c r="B54" s="3"/>
      <c r="C54" s="13">
        <v>12000</v>
      </c>
      <c r="D54" s="10">
        <v>45789</v>
      </c>
      <c r="E54" s="19">
        <f t="shared" si="6"/>
        <v>69736</v>
      </c>
      <c r="F54" s="3">
        <v>662</v>
      </c>
    </row>
    <row r="55" spans="1:6" x14ac:dyDescent="0.35">
      <c r="A55" s="3"/>
      <c r="B55" s="3"/>
      <c r="C55" s="13">
        <v>10000</v>
      </c>
      <c r="D55" s="10">
        <v>45789</v>
      </c>
      <c r="E55" s="19">
        <f t="shared" si="6"/>
        <v>59736</v>
      </c>
      <c r="F55" s="3">
        <v>663</v>
      </c>
    </row>
    <row r="56" spans="1:6" x14ac:dyDescent="0.35">
      <c r="A56" s="3"/>
      <c r="B56" s="3"/>
      <c r="C56" s="13"/>
      <c r="D56" s="3"/>
      <c r="E56" s="19">
        <f t="shared" si="6"/>
        <v>59736</v>
      </c>
      <c r="F56" s="3"/>
    </row>
    <row r="57" spans="1:6" x14ac:dyDescent="0.35">
      <c r="A57" s="3"/>
      <c r="B57" s="3"/>
      <c r="C57" s="13"/>
      <c r="D57" s="3"/>
      <c r="E57" s="19">
        <f t="shared" si="6"/>
        <v>59736</v>
      </c>
      <c r="F57" s="3"/>
    </row>
    <row r="58" spans="1:6" x14ac:dyDescent="0.35">
      <c r="A58" s="3"/>
      <c r="B58" s="3"/>
      <c r="C58" s="13"/>
      <c r="D58" s="3"/>
      <c r="E58" s="19">
        <f t="shared" si="6"/>
        <v>59736</v>
      </c>
      <c r="F58" s="3"/>
    </row>
    <row r="59" spans="1:6" x14ac:dyDescent="0.35">
      <c r="A59" s="3"/>
      <c r="B59" s="3"/>
      <c r="C59" s="13"/>
      <c r="D59" s="3"/>
      <c r="E59" s="19">
        <f t="shared" si="6"/>
        <v>59736</v>
      </c>
      <c r="F59" s="3"/>
    </row>
    <row r="60" spans="1:6" x14ac:dyDescent="0.35">
      <c r="A60" s="3"/>
      <c r="B60" s="3"/>
      <c r="C60" s="13"/>
      <c r="D60" s="3"/>
      <c r="E60" s="3"/>
      <c r="F60" s="3"/>
    </row>
    <row r="61" spans="1:6" x14ac:dyDescent="0.35">
      <c r="A61" s="14">
        <v>561000003554</v>
      </c>
      <c r="B61" s="6">
        <v>150000</v>
      </c>
      <c r="C61" s="7">
        <v>3786.5</v>
      </c>
      <c r="D61" s="3" t="s">
        <v>43</v>
      </c>
      <c r="E61" s="19">
        <f>SUM(B61-C61)</f>
        <v>146213.5</v>
      </c>
      <c r="F61" s="3">
        <v>829</v>
      </c>
    </row>
    <row r="62" spans="1:6" x14ac:dyDescent="0.35">
      <c r="A62" s="3"/>
      <c r="B62" s="3"/>
      <c r="C62" s="13">
        <v>1779.5</v>
      </c>
      <c r="D62" s="3" t="s">
        <v>46</v>
      </c>
      <c r="E62" s="19">
        <f t="shared" si="6"/>
        <v>144434</v>
      </c>
      <c r="F62" s="3">
        <v>833</v>
      </c>
    </row>
    <row r="63" spans="1:6" x14ac:dyDescent="0.35">
      <c r="A63" s="3"/>
      <c r="B63" s="3"/>
      <c r="C63" s="13"/>
      <c r="D63" s="3"/>
      <c r="E63" s="19">
        <f t="shared" si="6"/>
        <v>144434</v>
      </c>
      <c r="F63" s="3"/>
    </row>
    <row r="64" spans="1:6" x14ac:dyDescent="0.35">
      <c r="A64" s="3"/>
      <c r="B64" s="3"/>
      <c r="C64" s="13"/>
      <c r="D64" s="3"/>
      <c r="E64" s="19">
        <f t="shared" si="6"/>
        <v>144434</v>
      </c>
      <c r="F64" s="3"/>
    </row>
    <row r="65" spans="1:6" x14ac:dyDescent="0.35">
      <c r="A65" s="3"/>
      <c r="B65" s="3"/>
      <c r="C65" s="13"/>
      <c r="D65" s="3"/>
      <c r="E65" s="19">
        <f t="shared" si="6"/>
        <v>144434</v>
      </c>
      <c r="F65" s="3"/>
    </row>
    <row r="66" spans="1:6" x14ac:dyDescent="0.35">
      <c r="A66" s="3"/>
      <c r="B66" s="3"/>
      <c r="C66" s="13"/>
      <c r="D66" s="3"/>
      <c r="E66" s="3"/>
      <c r="F66" s="3"/>
    </row>
    <row r="67" spans="1:6" x14ac:dyDescent="0.35">
      <c r="A67" s="3"/>
      <c r="B67" s="3"/>
      <c r="C67" s="13"/>
      <c r="D67" s="3"/>
      <c r="E67" s="3"/>
      <c r="F67" s="3"/>
    </row>
    <row r="68" spans="1:6" x14ac:dyDescent="0.35">
      <c r="A68" s="3"/>
      <c r="B68" s="3"/>
      <c r="C68" s="13"/>
      <c r="D68" s="3"/>
      <c r="E68" s="3"/>
      <c r="F68" s="3"/>
    </row>
    <row r="69" spans="1:6" x14ac:dyDescent="0.35">
      <c r="A69" s="3"/>
      <c r="B69" s="3"/>
      <c r="C69" s="13"/>
      <c r="D69" s="3"/>
      <c r="E69" s="3"/>
      <c r="F69" s="3"/>
    </row>
    <row r="70" spans="1:6" x14ac:dyDescent="0.35">
      <c r="A70" s="3"/>
      <c r="B70" s="3"/>
      <c r="C70" s="13"/>
      <c r="D70" s="3"/>
      <c r="E70" s="3"/>
      <c r="F70" s="3"/>
    </row>
    <row r="71" spans="1:6" x14ac:dyDescent="0.35">
      <c r="A71" s="3"/>
      <c r="B71" s="3"/>
      <c r="C71" s="13"/>
      <c r="D71" s="3"/>
      <c r="E71" s="3"/>
      <c r="F71" s="3"/>
    </row>
    <row r="72" spans="1:6" x14ac:dyDescent="0.35">
      <c r="A72" s="3"/>
      <c r="B72" s="3"/>
      <c r="C72" s="13"/>
      <c r="D72" s="3"/>
      <c r="E72" s="3"/>
      <c r="F72" s="3"/>
    </row>
    <row r="73" spans="1:6" x14ac:dyDescent="0.35">
      <c r="A73" s="3"/>
      <c r="B73" s="3"/>
      <c r="C73" s="13"/>
      <c r="D73" s="3"/>
      <c r="E73" s="3"/>
      <c r="F73" s="3"/>
    </row>
    <row r="74" spans="1:6" x14ac:dyDescent="0.35">
      <c r="A74" s="3"/>
      <c r="B74" s="3"/>
      <c r="C74" s="13"/>
      <c r="D74" s="3"/>
      <c r="E74" s="3"/>
      <c r="F74" s="3"/>
    </row>
    <row r="75" spans="1:6" x14ac:dyDescent="0.35">
      <c r="A75" s="3"/>
      <c r="B75" s="3"/>
      <c r="C75" s="13"/>
      <c r="D75" s="3"/>
      <c r="E75" s="3"/>
      <c r="F75" s="3"/>
    </row>
    <row r="76" spans="1:6" x14ac:dyDescent="0.35">
      <c r="A76" s="3"/>
      <c r="B76" s="3"/>
      <c r="C76" s="13"/>
      <c r="D76" s="3"/>
      <c r="E76" s="3"/>
      <c r="F76" s="3"/>
    </row>
    <row r="77" spans="1:6" x14ac:dyDescent="0.35">
      <c r="A77" s="3"/>
      <c r="B77" s="3"/>
      <c r="C77" s="13"/>
      <c r="D77" s="3"/>
      <c r="E77" s="3"/>
      <c r="F77" s="3"/>
    </row>
    <row r="78" spans="1:6" x14ac:dyDescent="0.35">
      <c r="A78" s="3"/>
      <c r="B78" s="3"/>
      <c r="C78" s="13"/>
      <c r="D78" s="3"/>
      <c r="E78" s="3"/>
      <c r="F78" s="3"/>
    </row>
    <row r="79" spans="1:6" x14ac:dyDescent="0.35">
      <c r="A79" s="3"/>
      <c r="B79" s="3"/>
      <c r="C79" s="13"/>
      <c r="D79" s="3"/>
      <c r="E79" s="3"/>
      <c r="F79" s="3"/>
    </row>
    <row r="80" spans="1:6" x14ac:dyDescent="0.35">
      <c r="A80" s="3"/>
      <c r="B80" s="3"/>
      <c r="C80" s="13"/>
      <c r="D80" s="3"/>
      <c r="E80" s="3"/>
      <c r="F80" s="3"/>
    </row>
    <row r="81" spans="1:6" x14ac:dyDescent="0.35">
      <c r="A81" s="3"/>
      <c r="B81" s="3"/>
      <c r="C81" s="13"/>
      <c r="D81" s="3"/>
      <c r="E81" s="3"/>
      <c r="F81" s="3"/>
    </row>
    <row r="82" spans="1:6" x14ac:dyDescent="0.35">
      <c r="A82" s="3"/>
      <c r="B82" s="3"/>
      <c r="C82" s="13"/>
      <c r="D82" s="3"/>
      <c r="E82" s="3"/>
      <c r="F82" s="3"/>
    </row>
    <row r="83" spans="1:6" x14ac:dyDescent="0.35">
      <c r="A83" s="3"/>
      <c r="B83" s="3"/>
      <c r="C83" s="13"/>
      <c r="D83" s="3"/>
      <c r="E83" s="3"/>
      <c r="F83" s="3"/>
    </row>
    <row r="84" spans="1:6" x14ac:dyDescent="0.35">
      <c r="A84" s="3"/>
      <c r="B84" s="3"/>
      <c r="C84" s="13"/>
      <c r="D84" s="3"/>
      <c r="E84" s="3"/>
      <c r="F84" s="3"/>
    </row>
    <row r="85" spans="1:6" x14ac:dyDescent="0.35">
      <c r="A85" s="3"/>
      <c r="B85" s="3"/>
      <c r="C85" s="13"/>
      <c r="D85" s="3"/>
      <c r="E85" s="3"/>
      <c r="F85" s="3"/>
    </row>
    <row r="86" spans="1:6" x14ac:dyDescent="0.35">
      <c r="A86" s="3"/>
      <c r="B86" s="3"/>
      <c r="C86" s="13"/>
      <c r="D86" s="3"/>
      <c r="E86" s="3"/>
      <c r="F86" s="3"/>
    </row>
    <row r="87" spans="1:6" x14ac:dyDescent="0.35">
      <c r="A87" s="3"/>
      <c r="B87" s="3"/>
      <c r="C87" s="13"/>
      <c r="D87" s="3"/>
      <c r="E87" s="3"/>
      <c r="F87" s="3"/>
    </row>
    <row r="88" spans="1:6" x14ac:dyDescent="0.35">
      <c r="A88" s="3"/>
      <c r="B88" s="3"/>
      <c r="C88" s="13"/>
      <c r="D88" s="3"/>
      <c r="E88" s="3"/>
      <c r="F88" s="3"/>
    </row>
    <row r="89" spans="1:6" x14ac:dyDescent="0.35">
      <c r="A89" s="3"/>
      <c r="B89" s="3"/>
      <c r="C89" s="13"/>
      <c r="D89" s="3"/>
      <c r="E89" s="3"/>
      <c r="F89" s="3"/>
    </row>
    <row r="90" spans="1:6" x14ac:dyDescent="0.35">
      <c r="A90" s="3"/>
      <c r="B90" s="3"/>
      <c r="C90" s="13"/>
      <c r="D90" s="3"/>
      <c r="E90" s="3"/>
      <c r="F90" s="3"/>
    </row>
    <row r="91" spans="1:6" x14ac:dyDescent="0.35">
      <c r="A91" s="3"/>
      <c r="B91" s="3"/>
      <c r="C91" s="13"/>
      <c r="D91" s="3"/>
      <c r="E91" s="3"/>
      <c r="F91" s="3"/>
    </row>
    <row r="92" spans="1:6" x14ac:dyDescent="0.35">
      <c r="A92" s="3"/>
      <c r="B92" s="3"/>
      <c r="C92" s="13"/>
      <c r="D92" s="3"/>
      <c r="E92" s="3"/>
      <c r="F92" s="3"/>
    </row>
    <row r="93" spans="1:6" x14ac:dyDescent="0.35">
      <c r="A93" s="3"/>
      <c r="B93" s="3"/>
      <c r="C93" s="13"/>
      <c r="D93" s="3"/>
      <c r="E93" s="3"/>
      <c r="F93" s="3"/>
    </row>
    <row r="94" spans="1:6" x14ac:dyDescent="0.35">
      <c r="A94" s="3"/>
      <c r="B94" s="3"/>
      <c r="C94" s="13"/>
      <c r="D94" s="3"/>
      <c r="E94" s="3"/>
      <c r="F94" s="3"/>
    </row>
    <row r="95" spans="1:6" x14ac:dyDescent="0.35">
      <c r="A95" s="3"/>
      <c r="B95" s="3"/>
      <c r="C95" s="13"/>
      <c r="D95" s="3"/>
      <c r="E95" s="3"/>
      <c r="F95" s="3"/>
    </row>
    <row r="96" spans="1:6" x14ac:dyDescent="0.35">
      <c r="A96" s="3"/>
      <c r="B96" s="3"/>
      <c r="C96" s="13"/>
      <c r="D96" s="3"/>
      <c r="E96" s="3"/>
      <c r="F96" s="3"/>
    </row>
    <row r="97" spans="1:6" x14ac:dyDescent="0.35">
      <c r="A97" s="3"/>
      <c r="B97" s="3"/>
      <c r="C97" s="13"/>
      <c r="D97" s="3"/>
      <c r="E97" s="3"/>
      <c r="F97" s="3"/>
    </row>
    <row r="98" spans="1:6" x14ac:dyDescent="0.35">
      <c r="A98" s="3"/>
      <c r="B98" s="3"/>
      <c r="C98" s="13"/>
      <c r="D98" s="3"/>
      <c r="E98" s="3"/>
      <c r="F98" s="3"/>
    </row>
    <row r="99" spans="1:6" x14ac:dyDescent="0.35">
      <c r="A99" s="3"/>
      <c r="B99" s="3"/>
      <c r="C99" s="13"/>
      <c r="D99" s="3"/>
      <c r="E99" s="3"/>
      <c r="F99" s="3"/>
    </row>
    <row r="100" spans="1:6" x14ac:dyDescent="0.35">
      <c r="A100" s="3"/>
      <c r="B100" s="3"/>
      <c r="C100" s="13"/>
      <c r="D100" s="3"/>
      <c r="E100" s="3"/>
      <c r="F100" s="3"/>
    </row>
    <row r="101" spans="1:6" x14ac:dyDescent="0.35">
      <c r="A101" s="3"/>
      <c r="B101" s="3"/>
      <c r="C101" s="13"/>
      <c r="D101" s="3"/>
      <c r="E101" s="3"/>
      <c r="F101" s="3"/>
    </row>
    <row r="102" spans="1:6" x14ac:dyDescent="0.35">
      <c r="A102" s="3"/>
      <c r="B102" s="3"/>
      <c r="C102" s="13"/>
      <c r="D102" s="3"/>
      <c r="E102" s="3"/>
      <c r="F102" s="3"/>
    </row>
    <row r="103" spans="1:6" x14ac:dyDescent="0.35">
      <c r="A103" s="3"/>
      <c r="B103" s="3"/>
      <c r="C103" s="13"/>
      <c r="D103" s="3"/>
      <c r="E103" s="3"/>
      <c r="F103" s="3"/>
    </row>
    <row r="104" spans="1:6" x14ac:dyDescent="0.35">
      <c r="A104" s="3"/>
      <c r="B104" s="3"/>
      <c r="C104" s="13"/>
      <c r="D104" s="3"/>
      <c r="E104" s="3"/>
      <c r="F104" s="3"/>
    </row>
    <row r="105" spans="1:6" x14ac:dyDescent="0.35">
      <c r="A105" s="3"/>
      <c r="B105" s="3"/>
      <c r="C105" s="13"/>
      <c r="D105" s="3"/>
      <c r="E105" s="3"/>
      <c r="F105" s="3"/>
    </row>
    <row r="106" spans="1:6" x14ac:dyDescent="0.35">
      <c r="A106" s="3"/>
      <c r="B106" s="3"/>
      <c r="C106" s="13"/>
      <c r="D106" s="3"/>
      <c r="E106" s="3"/>
      <c r="F106" s="3"/>
    </row>
    <row r="107" spans="1:6" x14ac:dyDescent="0.35">
      <c r="A107" s="3"/>
      <c r="B107" s="3"/>
      <c r="C107" s="13"/>
      <c r="D107" s="3"/>
      <c r="E107" s="3"/>
      <c r="F107" s="3"/>
    </row>
    <row r="108" spans="1:6" x14ac:dyDescent="0.35">
      <c r="A108" s="3"/>
      <c r="B108" s="3"/>
      <c r="C108" s="13"/>
      <c r="D108" s="3"/>
      <c r="E108" s="3"/>
      <c r="F108" s="3"/>
    </row>
    <row r="109" spans="1:6" x14ac:dyDescent="0.35">
      <c r="A109" s="3"/>
      <c r="B109" s="3"/>
      <c r="C109" s="13"/>
      <c r="D109" s="3"/>
      <c r="E109" s="3"/>
      <c r="F109" s="3"/>
    </row>
    <row r="110" spans="1:6" x14ac:dyDescent="0.35">
      <c r="A110" s="3"/>
      <c r="B110" s="3"/>
      <c r="C110" s="13"/>
      <c r="D110" s="3"/>
      <c r="E110" s="3"/>
      <c r="F110" s="3"/>
    </row>
    <row r="111" spans="1:6" x14ac:dyDescent="0.35">
      <c r="A111" s="3"/>
      <c r="B111" s="3"/>
      <c r="C111" s="13"/>
      <c r="D111" s="3"/>
      <c r="E111" s="3"/>
      <c r="F111" s="3"/>
    </row>
    <row r="112" spans="1:6" x14ac:dyDescent="0.35">
      <c r="A112" s="3"/>
      <c r="B112" s="3"/>
      <c r="C112" s="13"/>
      <c r="D112" s="3"/>
      <c r="E112" s="3"/>
      <c r="F112" s="3"/>
    </row>
    <row r="113" spans="1:6" x14ac:dyDescent="0.35">
      <c r="A113" s="3"/>
      <c r="B113" s="3"/>
      <c r="C113" s="13"/>
      <c r="D113" s="3"/>
      <c r="E113" s="3"/>
      <c r="F113" s="3"/>
    </row>
    <row r="114" spans="1:6" x14ac:dyDescent="0.35">
      <c r="A114" s="3"/>
      <c r="B114" s="3"/>
      <c r="C114" s="13"/>
      <c r="D114" s="3"/>
      <c r="E114" s="3"/>
      <c r="F114" s="3"/>
    </row>
    <row r="115" spans="1:6" x14ac:dyDescent="0.35">
      <c r="A115" s="3"/>
      <c r="B115" s="3"/>
      <c r="C115" s="13"/>
      <c r="D115" s="3"/>
      <c r="E115" s="3"/>
      <c r="F115" s="3"/>
    </row>
    <row r="116" spans="1:6" x14ac:dyDescent="0.35">
      <c r="A116" s="3"/>
      <c r="B116" s="3"/>
      <c r="C116" s="13"/>
      <c r="D116" s="3"/>
      <c r="E116" s="3"/>
      <c r="F116" s="3"/>
    </row>
  </sheetData>
  <mergeCells count="2">
    <mergeCell ref="A2:E2"/>
    <mergeCell ref="A1:F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06F85-B75E-4BB7-9746-C2013E5ABB9E}">
  <sheetPr codeName="Sheet2"/>
  <dimension ref="A1:F50"/>
  <sheetViews>
    <sheetView topLeftCell="A34" zoomScale="130" zoomScaleNormal="130" workbookViewId="0">
      <selection activeCell="D43" sqref="D43"/>
    </sheetView>
  </sheetViews>
  <sheetFormatPr defaultRowHeight="14.5" x14ac:dyDescent="0.35"/>
  <cols>
    <col min="1" max="1" width="17.26953125" customWidth="1"/>
    <col min="2" max="2" width="12.08984375" customWidth="1"/>
    <col min="3" max="3" width="11.81640625" customWidth="1"/>
    <col min="4" max="4" width="11.453125" bestFit="1" customWidth="1"/>
    <col min="5" max="5" width="14.6328125" bestFit="1" customWidth="1"/>
    <col min="6" max="6" width="10.36328125" customWidth="1"/>
  </cols>
  <sheetData>
    <row r="1" spans="1:6" x14ac:dyDescent="0.35">
      <c r="A1" s="1" t="s">
        <v>5</v>
      </c>
      <c r="D1">
        <v>10</v>
      </c>
    </row>
    <row r="2" spans="1:6" x14ac:dyDescent="0.35">
      <c r="A2" s="1"/>
    </row>
    <row r="3" spans="1:6" x14ac:dyDescent="0.35">
      <c r="A3" s="2" t="s">
        <v>1</v>
      </c>
      <c r="B3" s="2"/>
      <c r="C3" s="2" t="s">
        <v>3</v>
      </c>
      <c r="D3" s="2" t="s">
        <v>2</v>
      </c>
      <c r="E3" s="2" t="s">
        <v>4</v>
      </c>
      <c r="F3" s="2" t="s">
        <v>29</v>
      </c>
    </row>
    <row r="4" spans="1:6" x14ac:dyDescent="0.35">
      <c r="A4" s="8" t="s">
        <v>16</v>
      </c>
      <c r="B4" s="3">
        <v>135000</v>
      </c>
      <c r="C4" s="3">
        <v>3000</v>
      </c>
      <c r="D4" s="3" t="s">
        <v>8</v>
      </c>
      <c r="E4" s="7">
        <f>SUM(B4-C4)</f>
        <v>132000</v>
      </c>
      <c r="F4" s="15">
        <v>204</v>
      </c>
    </row>
    <row r="5" spans="1:6" x14ac:dyDescent="0.35">
      <c r="A5" s="3"/>
      <c r="B5" s="3"/>
      <c r="C5" s="3">
        <v>7000</v>
      </c>
      <c r="D5" s="3" t="s">
        <v>11</v>
      </c>
      <c r="E5" s="7">
        <f>SUM(E4-C5)</f>
        <v>125000</v>
      </c>
      <c r="F5" s="15">
        <v>197</v>
      </c>
    </row>
    <row r="6" spans="1:6" x14ac:dyDescent="0.35">
      <c r="A6" s="3"/>
      <c r="B6" s="3"/>
      <c r="C6" s="3">
        <v>5000</v>
      </c>
      <c r="D6" s="3" t="s">
        <v>15</v>
      </c>
      <c r="E6" s="7">
        <f>SUM(E5-C6)</f>
        <v>120000</v>
      </c>
      <c r="F6" s="15">
        <v>229</v>
      </c>
    </row>
    <row r="7" spans="1:6" x14ac:dyDescent="0.35">
      <c r="A7" s="3"/>
      <c r="B7" s="3"/>
      <c r="C7" s="3">
        <v>3000</v>
      </c>
      <c r="D7" s="3" t="s">
        <v>13</v>
      </c>
      <c r="E7" s="7">
        <f>SUM(E6-C7)</f>
        <v>117000</v>
      </c>
      <c r="F7" s="15">
        <v>199</v>
      </c>
    </row>
    <row r="8" spans="1:6" x14ac:dyDescent="0.35">
      <c r="A8" s="3"/>
      <c r="B8" s="3"/>
      <c r="C8" s="3">
        <v>4000</v>
      </c>
      <c r="D8" s="10">
        <v>45889</v>
      </c>
      <c r="E8" s="7">
        <f t="shared" ref="E8:E22" si="0">SUM(E7-C8)</f>
        <v>113000</v>
      </c>
      <c r="F8" s="15">
        <v>267</v>
      </c>
    </row>
    <row r="9" spans="1:6" x14ac:dyDescent="0.35">
      <c r="A9" s="3"/>
      <c r="B9" s="3"/>
      <c r="C9" s="3">
        <v>7000</v>
      </c>
      <c r="D9" s="10">
        <v>45905</v>
      </c>
      <c r="E9" s="7">
        <f t="shared" si="0"/>
        <v>106000</v>
      </c>
      <c r="F9" s="15">
        <v>363</v>
      </c>
    </row>
    <row r="10" spans="1:6" x14ac:dyDescent="0.35">
      <c r="A10" s="3"/>
      <c r="B10" s="3"/>
      <c r="C10" s="3">
        <v>8000</v>
      </c>
      <c r="D10" s="10">
        <v>45909</v>
      </c>
      <c r="E10" s="7">
        <f t="shared" si="0"/>
        <v>98000</v>
      </c>
      <c r="F10" s="15">
        <v>365</v>
      </c>
    </row>
    <row r="11" spans="1:6" x14ac:dyDescent="0.35">
      <c r="A11" s="3"/>
      <c r="B11" s="3"/>
      <c r="C11" s="3">
        <v>8000</v>
      </c>
      <c r="D11" s="10">
        <v>45918</v>
      </c>
      <c r="E11" s="7">
        <f t="shared" si="0"/>
        <v>90000</v>
      </c>
      <c r="F11" s="15">
        <v>375</v>
      </c>
    </row>
    <row r="12" spans="1:6" x14ac:dyDescent="0.35">
      <c r="A12" s="3"/>
      <c r="B12" s="3"/>
      <c r="C12" s="3">
        <v>7000</v>
      </c>
      <c r="D12" s="10">
        <v>45926</v>
      </c>
      <c r="E12" s="7">
        <f t="shared" si="0"/>
        <v>83000</v>
      </c>
      <c r="F12" s="15">
        <v>377</v>
      </c>
    </row>
    <row r="13" spans="1:6" x14ac:dyDescent="0.35">
      <c r="A13" s="3"/>
      <c r="B13" s="3"/>
      <c r="C13" s="3">
        <v>10000</v>
      </c>
      <c r="D13" s="10">
        <v>45937</v>
      </c>
      <c r="E13" s="7">
        <f t="shared" si="0"/>
        <v>73000</v>
      </c>
      <c r="F13" s="15">
        <v>381</v>
      </c>
    </row>
    <row r="14" spans="1:6" x14ac:dyDescent="0.35">
      <c r="A14" s="3"/>
      <c r="B14" s="3"/>
      <c r="C14" s="3">
        <v>2000</v>
      </c>
      <c r="D14" s="3" t="s">
        <v>37</v>
      </c>
      <c r="E14" s="7">
        <f t="shared" si="0"/>
        <v>71000</v>
      </c>
      <c r="F14" s="15"/>
    </row>
    <row r="15" spans="1:6" x14ac:dyDescent="0.35">
      <c r="A15" s="3"/>
      <c r="B15" s="3"/>
      <c r="C15" s="3">
        <v>12000</v>
      </c>
      <c r="D15" s="3" t="s">
        <v>44</v>
      </c>
      <c r="E15" s="7">
        <f t="shared" si="0"/>
        <v>59000</v>
      </c>
      <c r="F15" s="15">
        <v>831</v>
      </c>
    </row>
    <row r="16" spans="1:6" x14ac:dyDescent="0.35">
      <c r="A16" s="3"/>
      <c r="B16" s="3"/>
      <c r="C16" s="3">
        <v>12000</v>
      </c>
      <c r="D16" s="3" t="s">
        <v>45</v>
      </c>
      <c r="E16" s="7">
        <f t="shared" si="0"/>
        <v>47000</v>
      </c>
      <c r="F16" s="15">
        <v>832</v>
      </c>
    </row>
    <row r="17" spans="1:6" x14ac:dyDescent="0.35">
      <c r="A17" s="3"/>
      <c r="B17" s="3"/>
      <c r="C17" s="3">
        <v>10000</v>
      </c>
      <c r="D17" s="3" t="s">
        <v>46</v>
      </c>
      <c r="E17" s="7">
        <f t="shared" si="0"/>
        <v>37000</v>
      </c>
      <c r="F17" s="15">
        <v>833</v>
      </c>
    </row>
    <row r="18" spans="1:6" x14ac:dyDescent="0.35">
      <c r="A18" s="3"/>
      <c r="B18" s="3"/>
      <c r="C18" s="3">
        <v>12000</v>
      </c>
      <c r="D18" s="3" t="s">
        <v>45</v>
      </c>
      <c r="E18" s="7">
        <f t="shared" si="0"/>
        <v>25000</v>
      </c>
      <c r="F18" s="15">
        <v>845</v>
      </c>
    </row>
    <row r="19" spans="1:6" x14ac:dyDescent="0.35">
      <c r="A19" s="3"/>
      <c r="B19" s="3"/>
      <c r="C19" s="3"/>
      <c r="D19" s="3"/>
      <c r="E19" s="7">
        <f t="shared" si="0"/>
        <v>25000</v>
      </c>
      <c r="F19" s="15"/>
    </row>
    <row r="20" spans="1:6" x14ac:dyDescent="0.35">
      <c r="A20" s="3"/>
      <c r="B20" s="3"/>
      <c r="C20" s="3"/>
      <c r="D20" s="3"/>
      <c r="E20" s="7">
        <f t="shared" si="0"/>
        <v>25000</v>
      </c>
      <c r="F20" s="15"/>
    </row>
    <row r="21" spans="1:6" x14ac:dyDescent="0.35">
      <c r="A21" s="3"/>
      <c r="B21" s="3"/>
      <c r="C21" s="3"/>
      <c r="D21" s="3"/>
      <c r="E21" s="7">
        <f t="shared" si="0"/>
        <v>25000</v>
      </c>
      <c r="F21" s="15"/>
    </row>
    <row r="22" spans="1:6" x14ac:dyDescent="0.35">
      <c r="A22" s="3"/>
      <c r="B22" s="3"/>
      <c r="C22" s="3"/>
      <c r="D22" s="3"/>
      <c r="E22" s="7">
        <f t="shared" si="0"/>
        <v>25000</v>
      </c>
      <c r="F22" s="15"/>
    </row>
    <row r="23" spans="1:6" x14ac:dyDescent="0.35">
      <c r="A23" s="3"/>
      <c r="B23" s="3"/>
      <c r="C23" s="3"/>
      <c r="D23" s="3"/>
      <c r="E23" s="7"/>
      <c r="F23" s="15"/>
    </row>
    <row r="24" spans="1:6" x14ac:dyDescent="0.35">
      <c r="A24" s="3"/>
      <c r="B24" s="3"/>
      <c r="C24" s="3"/>
      <c r="D24" s="3"/>
      <c r="E24" s="7"/>
      <c r="F24" s="15"/>
    </row>
    <row r="25" spans="1:6" x14ac:dyDescent="0.35">
      <c r="A25" s="3"/>
      <c r="B25" s="3"/>
      <c r="C25" s="3"/>
      <c r="D25" s="3"/>
      <c r="E25" s="7"/>
      <c r="F25" s="15"/>
    </row>
    <row r="26" spans="1:6" x14ac:dyDescent="0.35">
      <c r="A26" s="3"/>
      <c r="B26" s="3"/>
      <c r="C26" s="3"/>
      <c r="D26" s="3"/>
      <c r="E26" s="7"/>
      <c r="F26" s="15"/>
    </row>
    <row r="27" spans="1:6" x14ac:dyDescent="0.35">
      <c r="A27" s="3"/>
      <c r="B27" s="3"/>
      <c r="C27" s="3"/>
      <c r="D27" s="3"/>
      <c r="E27" s="7"/>
      <c r="F27" s="15"/>
    </row>
    <row r="28" spans="1:6" x14ac:dyDescent="0.35">
      <c r="A28" s="3"/>
      <c r="B28" s="3"/>
      <c r="C28" s="3"/>
      <c r="D28" s="3"/>
      <c r="E28" s="7"/>
      <c r="F28" s="15"/>
    </row>
    <row r="29" spans="1:6" x14ac:dyDescent="0.35">
      <c r="A29" s="15"/>
      <c r="B29" s="15"/>
      <c r="C29" s="15"/>
      <c r="D29" s="15"/>
      <c r="E29" s="15"/>
      <c r="F29" s="15"/>
    </row>
    <row r="30" spans="1:6" x14ac:dyDescent="0.35">
      <c r="A30" s="15"/>
      <c r="B30" s="15"/>
      <c r="C30" s="15"/>
      <c r="D30" s="15"/>
      <c r="E30" s="15"/>
      <c r="F30" s="15"/>
    </row>
    <row r="31" spans="1:6" x14ac:dyDescent="0.35">
      <c r="A31" s="15"/>
      <c r="B31" s="15"/>
      <c r="C31" s="15"/>
      <c r="D31" s="15"/>
      <c r="E31" s="15"/>
      <c r="F31" s="15"/>
    </row>
    <row r="33" spans="1:6" x14ac:dyDescent="0.35">
      <c r="A33" s="24">
        <v>561000000823</v>
      </c>
      <c r="B33" s="15"/>
      <c r="C33" s="15"/>
      <c r="D33" s="15"/>
      <c r="E33" s="15"/>
      <c r="F33" s="15"/>
    </row>
    <row r="34" spans="1:6" x14ac:dyDescent="0.35">
      <c r="A34" s="15"/>
      <c r="B34" s="15"/>
      <c r="C34" s="15"/>
      <c r="D34" s="15"/>
      <c r="E34" s="15"/>
      <c r="F34" s="15"/>
    </row>
    <row r="35" spans="1:6" x14ac:dyDescent="0.35">
      <c r="A35" s="15"/>
      <c r="B35" s="15"/>
      <c r="C35" s="15"/>
      <c r="D35" s="15"/>
      <c r="E35" s="15"/>
      <c r="F35" s="15"/>
    </row>
    <row r="36" spans="1:6" x14ac:dyDescent="0.35">
      <c r="A36" s="15"/>
      <c r="B36" s="15"/>
      <c r="C36" s="15"/>
      <c r="D36" s="15"/>
      <c r="E36" s="15"/>
      <c r="F36" s="15"/>
    </row>
    <row r="37" spans="1:6" x14ac:dyDescent="0.35">
      <c r="A37" s="15"/>
      <c r="B37" s="15"/>
      <c r="C37" s="15"/>
      <c r="D37" s="15"/>
      <c r="E37" s="15"/>
      <c r="F37" s="15"/>
    </row>
    <row r="38" spans="1:6" x14ac:dyDescent="0.35">
      <c r="A38" s="24">
        <v>561000003476</v>
      </c>
      <c r="B38" s="15">
        <v>150000</v>
      </c>
      <c r="C38" s="15"/>
      <c r="D38" s="15"/>
      <c r="E38" s="15"/>
      <c r="F38" s="15"/>
    </row>
    <row r="39" spans="1:6" x14ac:dyDescent="0.35">
      <c r="A39" s="15"/>
      <c r="B39" s="15"/>
      <c r="C39" s="15"/>
      <c r="D39" s="15"/>
      <c r="E39" s="15"/>
      <c r="F39" s="15"/>
    </row>
    <row r="40" spans="1:6" x14ac:dyDescent="0.35">
      <c r="A40" s="15"/>
      <c r="B40" s="15"/>
      <c r="C40" s="15"/>
      <c r="D40" s="15"/>
      <c r="E40" s="15"/>
      <c r="F40" s="15"/>
    </row>
    <row r="41" spans="1:6" x14ac:dyDescent="0.35">
      <c r="A41" s="15"/>
      <c r="B41" s="15"/>
      <c r="C41" s="15"/>
      <c r="D41" s="15"/>
      <c r="E41" s="15"/>
      <c r="F41" s="15"/>
    </row>
    <row r="42" spans="1:6" x14ac:dyDescent="0.35">
      <c r="A42" s="15"/>
      <c r="B42" s="15"/>
      <c r="C42" s="15"/>
      <c r="D42" s="15"/>
      <c r="E42" s="15"/>
      <c r="F42" s="15"/>
    </row>
    <row r="43" spans="1:6" x14ac:dyDescent="0.35">
      <c r="A43" s="15">
        <v>21206277</v>
      </c>
      <c r="B43" s="15">
        <v>106000</v>
      </c>
      <c r="C43" s="15"/>
      <c r="D43" s="15"/>
      <c r="E43" s="15">
        <v>366.1</v>
      </c>
      <c r="F43" s="15"/>
    </row>
    <row r="44" spans="1:6" x14ac:dyDescent="0.35">
      <c r="A44" s="15"/>
      <c r="B44" s="15"/>
      <c r="C44" s="15"/>
      <c r="D44" s="15"/>
      <c r="E44" s="15"/>
      <c r="F44" s="15"/>
    </row>
    <row r="45" spans="1:6" x14ac:dyDescent="0.35">
      <c r="A45" s="15"/>
      <c r="B45" s="15"/>
      <c r="C45" s="15"/>
      <c r="D45" s="15"/>
      <c r="E45" s="15"/>
      <c r="F45" s="15"/>
    </row>
    <row r="46" spans="1:6" x14ac:dyDescent="0.35">
      <c r="A46" s="15"/>
      <c r="B46" s="15"/>
      <c r="C46" s="15"/>
      <c r="D46" s="15"/>
      <c r="E46" s="15"/>
      <c r="F46" s="15"/>
    </row>
    <row r="47" spans="1:6" x14ac:dyDescent="0.35">
      <c r="A47" s="15"/>
      <c r="B47" s="15"/>
      <c r="C47" s="15"/>
      <c r="D47" s="15"/>
      <c r="E47" s="15"/>
      <c r="F47" s="15"/>
    </row>
    <row r="48" spans="1:6" x14ac:dyDescent="0.35">
      <c r="A48" s="15"/>
      <c r="B48" s="15"/>
      <c r="C48" s="15"/>
      <c r="D48" s="15"/>
      <c r="E48" s="15"/>
      <c r="F48" s="15"/>
    </row>
    <row r="49" spans="1:6" x14ac:dyDescent="0.35">
      <c r="A49" s="15"/>
      <c r="B49" s="15"/>
      <c r="C49" s="15"/>
      <c r="D49" s="15"/>
      <c r="E49" s="15"/>
      <c r="F49" s="15"/>
    </row>
    <row r="50" spans="1:6" x14ac:dyDescent="0.35">
      <c r="A50" s="15"/>
      <c r="B50" s="15"/>
      <c r="C50" s="15"/>
      <c r="D50" s="15"/>
      <c r="E50" s="15"/>
      <c r="F50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7AA5A-D190-4D70-BCD0-50AA683AB00C}">
  <sheetPr codeName="Sheet3"/>
  <dimension ref="A1:F13"/>
  <sheetViews>
    <sheetView workbookViewId="0">
      <selection activeCell="E19" sqref="E19"/>
    </sheetView>
  </sheetViews>
  <sheetFormatPr defaultRowHeight="14.5" x14ac:dyDescent="0.35"/>
  <cols>
    <col min="4" max="4" width="11.453125" bestFit="1" customWidth="1"/>
    <col min="5" max="5" width="14.6328125" bestFit="1" customWidth="1"/>
    <col min="6" max="6" width="10.453125" bestFit="1" customWidth="1"/>
  </cols>
  <sheetData>
    <row r="1" spans="1:6" x14ac:dyDescent="0.35">
      <c r="A1" s="1" t="s">
        <v>6</v>
      </c>
      <c r="D1">
        <v>14</v>
      </c>
    </row>
    <row r="2" spans="1:6" x14ac:dyDescent="0.35">
      <c r="A2" s="1"/>
    </row>
    <row r="3" spans="1:6" x14ac:dyDescent="0.35">
      <c r="A3" s="2" t="s">
        <v>1</v>
      </c>
      <c r="B3" s="2"/>
      <c r="C3" s="2" t="s">
        <v>3</v>
      </c>
      <c r="D3" s="2" t="s">
        <v>2</v>
      </c>
      <c r="E3" s="2" t="s">
        <v>4</v>
      </c>
      <c r="F3" s="2" t="s">
        <v>29</v>
      </c>
    </row>
    <row r="4" spans="1:6" x14ac:dyDescent="0.35">
      <c r="A4" s="3">
        <v>21208943</v>
      </c>
      <c r="B4" s="3">
        <v>5000</v>
      </c>
      <c r="C4" s="3">
        <v>320</v>
      </c>
      <c r="D4" s="3" t="s">
        <v>11</v>
      </c>
      <c r="E4" s="7">
        <f>SUM(B4-C4)</f>
        <v>4680</v>
      </c>
      <c r="F4" s="15">
        <v>197</v>
      </c>
    </row>
    <row r="5" spans="1:6" x14ac:dyDescent="0.35">
      <c r="A5" s="3"/>
      <c r="B5" s="3"/>
      <c r="C5" s="3">
        <v>1090</v>
      </c>
      <c r="D5" s="3" t="s">
        <v>11</v>
      </c>
      <c r="E5" s="7">
        <f>SUM(E4-C5)</f>
        <v>3590</v>
      </c>
      <c r="F5" s="15">
        <v>197</v>
      </c>
    </row>
    <row r="6" spans="1:6" x14ac:dyDescent="0.35">
      <c r="A6" s="3"/>
      <c r="B6" s="3"/>
      <c r="C6" s="3">
        <v>765</v>
      </c>
      <c r="D6" s="10">
        <v>45891</v>
      </c>
      <c r="E6" s="7">
        <f t="shared" ref="E6:E13" si="0">SUM(E5-C6)</f>
        <v>2825</v>
      </c>
      <c r="F6" s="15">
        <v>269</v>
      </c>
    </row>
    <row r="7" spans="1:6" x14ac:dyDescent="0.35">
      <c r="A7" s="3"/>
      <c r="B7" s="3"/>
      <c r="C7" s="3">
        <v>5701</v>
      </c>
      <c r="D7" s="10">
        <v>41163</v>
      </c>
      <c r="E7" s="7">
        <f t="shared" si="0"/>
        <v>-2876</v>
      </c>
      <c r="F7" s="15"/>
    </row>
    <row r="8" spans="1:6" x14ac:dyDescent="0.35">
      <c r="A8" s="3"/>
      <c r="B8" s="3"/>
      <c r="C8" s="3">
        <v>191.5</v>
      </c>
      <c r="D8" s="10">
        <v>45932</v>
      </c>
      <c r="E8" s="7">
        <f t="shared" si="0"/>
        <v>-3067.5</v>
      </c>
      <c r="F8" s="15">
        <v>380</v>
      </c>
    </row>
    <row r="9" spans="1:6" x14ac:dyDescent="0.35">
      <c r="A9" s="3"/>
      <c r="B9" s="3"/>
      <c r="C9" s="3">
        <v>651</v>
      </c>
      <c r="D9" s="3" t="s">
        <v>37</v>
      </c>
      <c r="E9" s="7">
        <f t="shared" si="0"/>
        <v>-3718.5</v>
      </c>
      <c r="F9" s="15"/>
    </row>
    <row r="10" spans="1:6" x14ac:dyDescent="0.35">
      <c r="A10" s="3"/>
      <c r="B10" s="3"/>
      <c r="C10" s="3">
        <v>285</v>
      </c>
      <c r="D10" s="10">
        <v>45942</v>
      </c>
      <c r="E10" s="7">
        <f t="shared" si="0"/>
        <v>-4003.5</v>
      </c>
      <c r="F10" s="15"/>
    </row>
    <row r="11" spans="1:6" x14ac:dyDescent="0.35">
      <c r="A11" s="3"/>
      <c r="B11" s="3"/>
      <c r="C11" s="3"/>
      <c r="D11" s="3"/>
      <c r="E11" s="7">
        <f t="shared" si="0"/>
        <v>-4003.5</v>
      </c>
      <c r="F11" s="15"/>
    </row>
    <row r="12" spans="1:6" x14ac:dyDescent="0.35">
      <c r="A12" s="3"/>
      <c r="B12" s="3"/>
      <c r="C12" s="3"/>
      <c r="D12" s="3"/>
      <c r="E12" s="7">
        <f t="shared" si="0"/>
        <v>-4003.5</v>
      </c>
      <c r="F12" s="15"/>
    </row>
    <row r="13" spans="1:6" x14ac:dyDescent="0.35">
      <c r="A13" s="3"/>
      <c r="B13" s="3"/>
      <c r="C13" s="3"/>
      <c r="D13" s="3"/>
      <c r="E13" s="7">
        <f t="shared" si="0"/>
        <v>-4003.5</v>
      </c>
      <c r="F13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E4589-8AD2-4F6B-A038-3E65C66170B7}">
  <sheetPr codeName="Sheet4"/>
  <dimension ref="A1:F27"/>
  <sheetViews>
    <sheetView topLeftCell="A7" workbookViewId="0">
      <selection activeCell="J13" sqref="J13"/>
    </sheetView>
  </sheetViews>
  <sheetFormatPr defaultRowHeight="14.5" x14ac:dyDescent="0.35"/>
  <cols>
    <col min="1" max="1" width="21.7265625" style="22" customWidth="1"/>
    <col min="4" max="4" width="16.453125" customWidth="1"/>
    <col min="5" max="5" width="16.08984375" customWidth="1"/>
    <col min="6" max="6" width="10.54296875" customWidth="1"/>
  </cols>
  <sheetData>
    <row r="1" spans="1:6" x14ac:dyDescent="0.35">
      <c r="A1" s="20" t="s">
        <v>18</v>
      </c>
      <c r="B1" t="s">
        <v>21</v>
      </c>
      <c r="D1">
        <v>5.5</v>
      </c>
    </row>
    <row r="2" spans="1:6" x14ac:dyDescent="0.35">
      <c r="A2" s="20"/>
      <c r="B2">
        <v>5.5</v>
      </c>
    </row>
    <row r="3" spans="1:6" x14ac:dyDescent="0.35">
      <c r="A3" s="21" t="s">
        <v>1</v>
      </c>
      <c r="B3" s="2"/>
      <c r="C3" s="2" t="s">
        <v>3</v>
      </c>
      <c r="D3" s="2" t="s">
        <v>2</v>
      </c>
      <c r="E3" s="2" t="s">
        <v>4</v>
      </c>
      <c r="F3" s="2" t="s">
        <v>35</v>
      </c>
    </row>
    <row r="4" spans="1:6" x14ac:dyDescent="0.35">
      <c r="A4" s="14">
        <v>561000001034</v>
      </c>
      <c r="B4" s="3">
        <v>70000</v>
      </c>
      <c r="C4" s="3">
        <v>2102</v>
      </c>
      <c r="D4" s="10">
        <v>45853</v>
      </c>
      <c r="E4" s="7">
        <f>SUM(B4-C4)</f>
        <v>67898</v>
      </c>
      <c r="F4" s="3">
        <v>345</v>
      </c>
    </row>
    <row r="5" spans="1:6" x14ac:dyDescent="0.35">
      <c r="A5" s="14"/>
      <c r="B5" s="3"/>
      <c r="C5" s="3">
        <v>1490</v>
      </c>
      <c r="D5" s="10">
        <v>45853</v>
      </c>
      <c r="E5" s="7">
        <f>SUM(E4-C5)</f>
        <v>66408</v>
      </c>
      <c r="F5" s="3">
        <v>345</v>
      </c>
    </row>
    <row r="6" spans="1:6" x14ac:dyDescent="0.35">
      <c r="A6" s="14"/>
      <c r="B6" s="3"/>
      <c r="C6" s="3">
        <v>3196</v>
      </c>
      <c r="D6" s="10">
        <v>45856</v>
      </c>
      <c r="E6" s="7">
        <f t="shared" ref="E6:E13" si="0">SUM(E5-C6)</f>
        <v>63212</v>
      </c>
      <c r="F6" s="3">
        <v>346</v>
      </c>
    </row>
    <row r="7" spans="1:6" x14ac:dyDescent="0.35">
      <c r="A7" s="14"/>
      <c r="B7" s="3"/>
      <c r="C7" s="3">
        <v>1801</v>
      </c>
      <c r="D7" s="10">
        <v>45856</v>
      </c>
      <c r="E7" s="7">
        <f t="shared" si="0"/>
        <v>61411</v>
      </c>
      <c r="F7" s="3">
        <v>346</v>
      </c>
    </row>
    <row r="8" spans="1:6" x14ac:dyDescent="0.35">
      <c r="A8" s="14"/>
      <c r="B8" s="3"/>
      <c r="C8" s="3">
        <v>8561</v>
      </c>
      <c r="D8" s="10">
        <v>45884</v>
      </c>
      <c r="E8" s="7">
        <f t="shared" si="0"/>
        <v>52850</v>
      </c>
      <c r="F8" s="3">
        <v>347</v>
      </c>
    </row>
    <row r="9" spans="1:6" x14ac:dyDescent="0.35">
      <c r="A9" s="14"/>
      <c r="B9" s="3"/>
      <c r="C9" s="3">
        <f>1412+20.5</f>
        <v>1432.5</v>
      </c>
      <c r="D9" s="10">
        <v>45884</v>
      </c>
      <c r="E9" s="7">
        <f t="shared" si="0"/>
        <v>51417.5</v>
      </c>
      <c r="F9" s="3">
        <v>347</v>
      </c>
    </row>
    <row r="10" spans="1:6" x14ac:dyDescent="0.35">
      <c r="A10" s="14"/>
      <c r="B10" s="3"/>
      <c r="C10" s="3">
        <v>4747</v>
      </c>
      <c r="D10" s="10">
        <v>45891</v>
      </c>
      <c r="E10" s="7">
        <f t="shared" si="0"/>
        <v>46670.5</v>
      </c>
      <c r="F10" s="3">
        <v>332</v>
      </c>
    </row>
    <row r="11" spans="1:6" x14ac:dyDescent="0.35">
      <c r="A11" s="14"/>
      <c r="B11" s="3"/>
      <c r="C11" s="3">
        <v>3543.5</v>
      </c>
      <c r="D11" s="10">
        <v>45818</v>
      </c>
      <c r="E11" s="7">
        <f t="shared" si="0"/>
        <v>43127</v>
      </c>
      <c r="F11" s="3">
        <v>353</v>
      </c>
    </row>
    <row r="12" spans="1:6" x14ac:dyDescent="0.35">
      <c r="A12" s="14"/>
      <c r="B12" s="3"/>
      <c r="C12" s="3">
        <v>2183</v>
      </c>
      <c r="D12" s="10">
        <v>45827</v>
      </c>
      <c r="E12" s="7">
        <f t="shared" si="0"/>
        <v>40944</v>
      </c>
      <c r="F12" s="3">
        <v>354</v>
      </c>
    </row>
    <row r="13" spans="1:6" x14ac:dyDescent="0.35">
      <c r="A13" s="14"/>
      <c r="B13" s="3"/>
      <c r="C13" s="3">
        <v>5112</v>
      </c>
      <c r="D13" s="10">
        <v>45827</v>
      </c>
      <c r="E13" s="7">
        <f t="shared" si="0"/>
        <v>35832</v>
      </c>
      <c r="F13" s="3">
        <v>354</v>
      </c>
    </row>
    <row r="14" spans="1:6" x14ac:dyDescent="0.35">
      <c r="A14" s="14"/>
      <c r="B14" s="3"/>
      <c r="C14" s="3">
        <v>626</v>
      </c>
      <c r="D14" s="10">
        <v>45833</v>
      </c>
      <c r="E14" s="7">
        <f t="shared" ref="E14:E26" si="1">SUM(E13-C14)</f>
        <v>35206</v>
      </c>
      <c r="F14" s="3">
        <v>359</v>
      </c>
    </row>
    <row r="15" spans="1:6" x14ac:dyDescent="0.35">
      <c r="A15" s="14"/>
      <c r="B15" s="3"/>
      <c r="C15" s="3">
        <v>4867</v>
      </c>
      <c r="D15" s="10">
        <v>45911</v>
      </c>
      <c r="E15" s="7">
        <f t="shared" si="1"/>
        <v>30339</v>
      </c>
      <c r="F15" s="3">
        <v>367</v>
      </c>
    </row>
    <row r="16" spans="1:6" x14ac:dyDescent="0.35">
      <c r="A16" s="14"/>
      <c r="B16" s="3"/>
      <c r="C16" s="3">
        <v>834</v>
      </c>
      <c r="D16" s="10">
        <v>45911</v>
      </c>
      <c r="E16" s="7">
        <f t="shared" si="1"/>
        <v>29505</v>
      </c>
      <c r="F16" s="3">
        <v>367</v>
      </c>
    </row>
    <row r="17" spans="1:6" x14ac:dyDescent="0.35">
      <c r="A17" s="14"/>
      <c r="B17" s="3"/>
      <c r="C17" s="3">
        <v>4171.5</v>
      </c>
      <c r="D17" s="10">
        <v>45932</v>
      </c>
      <c r="E17" s="7">
        <f t="shared" si="1"/>
        <v>25333.5</v>
      </c>
      <c r="F17" s="3">
        <v>380</v>
      </c>
    </row>
    <row r="18" spans="1:6" x14ac:dyDescent="0.35">
      <c r="A18" s="14"/>
      <c r="B18" s="3"/>
      <c r="C18" s="3">
        <v>5160</v>
      </c>
      <c r="D18" s="10">
        <v>45932</v>
      </c>
      <c r="E18" s="7">
        <f t="shared" si="1"/>
        <v>20173.5</v>
      </c>
      <c r="F18" s="3">
        <v>380</v>
      </c>
    </row>
    <row r="19" spans="1:6" x14ac:dyDescent="0.35">
      <c r="A19" s="14"/>
      <c r="B19" s="3"/>
      <c r="C19" s="3">
        <v>927</v>
      </c>
      <c r="D19" s="10">
        <v>45937</v>
      </c>
      <c r="E19" s="7">
        <f t="shared" si="1"/>
        <v>19246.5</v>
      </c>
      <c r="F19" s="3">
        <v>381</v>
      </c>
    </row>
    <row r="20" spans="1:6" x14ac:dyDescent="0.35">
      <c r="A20" s="14"/>
      <c r="B20" s="3"/>
      <c r="C20" s="3">
        <v>3668.5</v>
      </c>
      <c r="D20" s="3" t="s">
        <v>37</v>
      </c>
      <c r="E20" s="7">
        <f t="shared" si="1"/>
        <v>15578</v>
      </c>
      <c r="F20" s="3"/>
    </row>
    <row r="21" spans="1:6" x14ac:dyDescent="0.35">
      <c r="A21" s="14"/>
      <c r="B21" s="3"/>
      <c r="C21" s="3">
        <v>711</v>
      </c>
      <c r="D21" s="3" t="s">
        <v>37</v>
      </c>
      <c r="E21" s="7">
        <f t="shared" si="1"/>
        <v>14867</v>
      </c>
      <c r="F21" s="3"/>
    </row>
    <row r="22" spans="1:6" x14ac:dyDescent="0.35">
      <c r="A22" s="14"/>
      <c r="B22" s="3"/>
      <c r="C22" s="3">
        <v>9787</v>
      </c>
      <c r="D22" s="10">
        <v>45728</v>
      </c>
      <c r="E22" s="7">
        <f t="shared" si="1"/>
        <v>5080</v>
      </c>
      <c r="F22" s="3">
        <v>659</v>
      </c>
    </row>
    <row r="23" spans="1:6" x14ac:dyDescent="0.35">
      <c r="C23" s="23">
        <v>7944</v>
      </c>
      <c r="D23" s="25">
        <v>45942</v>
      </c>
      <c r="E23" s="26">
        <f t="shared" si="1"/>
        <v>-2864</v>
      </c>
    </row>
    <row r="24" spans="1:6" x14ac:dyDescent="0.35">
      <c r="C24" s="23">
        <v>1188</v>
      </c>
      <c r="D24" t="s">
        <v>43</v>
      </c>
      <c r="E24" s="26">
        <f t="shared" si="1"/>
        <v>-4052</v>
      </c>
      <c r="F24">
        <v>829</v>
      </c>
    </row>
    <row r="25" spans="1:6" x14ac:dyDescent="0.35">
      <c r="C25" s="23">
        <v>7016</v>
      </c>
      <c r="D25" t="s">
        <v>43</v>
      </c>
      <c r="E25" s="26">
        <f t="shared" si="1"/>
        <v>-11068</v>
      </c>
      <c r="F25">
        <v>829</v>
      </c>
    </row>
    <row r="26" spans="1:6" x14ac:dyDescent="0.35">
      <c r="C26" s="23">
        <v>2.5</v>
      </c>
      <c r="D26" t="s">
        <v>43</v>
      </c>
      <c r="E26" s="26">
        <f t="shared" si="1"/>
        <v>-11070.5</v>
      </c>
      <c r="F26">
        <v>829</v>
      </c>
    </row>
    <row r="27" spans="1:6" x14ac:dyDescent="0.35">
      <c r="E27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F2B1C-0BEA-4BF0-AF15-F1838EA377ED}">
  <sheetPr codeName="Sheet5"/>
  <dimension ref="A1:F14"/>
  <sheetViews>
    <sheetView workbookViewId="0">
      <selection activeCell="A14" sqref="A14"/>
    </sheetView>
  </sheetViews>
  <sheetFormatPr defaultRowHeight="14.5" x14ac:dyDescent="0.35"/>
  <cols>
    <col min="1" max="1" width="15" style="22" customWidth="1"/>
    <col min="4" max="4" width="14" customWidth="1"/>
    <col min="5" max="5" width="13.453125" customWidth="1"/>
  </cols>
  <sheetData>
    <row r="1" spans="1:6" x14ac:dyDescent="0.35">
      <c r="A1" s="20" t="s">
        <v>19</v>
      </c>
      <c r="B1">
        <v>29</v>
      </c>
    </row>
    <row r="2" spans="1:6" x14ac:dyDescent="0.35">
      <c r="A2" s="20"/>
    </row>
    <row r="3" spans="1:6" x14ac:dyDescent="0.35">
      <c r="A3" s="21" t="s">
        <v>1</v>
      </c>
      <c r="B3" s="2"/>
      <c r="C3" s="2" t="s">
        <v>3</v>
      </c>
      <c r="D3" s="2" t="s">
        <v>2</v>
      </c>
      <c r="E3" s="2" t="s">
        <v>4</v>
      </c>
    </row>
    <row r="4" spans="1:6" x14ac:dyDescent="0.35">
      <c r="A4" s="14">
        <v>561000001022</v>
      </c>
      <c r="B4" s="3">
        <v>500</v>
      </c>
      <c r="C4" s="3">
        <v>166</v>
      </c>
      <c r="D4" s="10">
        <v>45889</v>
      </c>
      <c r="E4" s="7">
        <f>SUM(B4-C4)</f>
        <v>334</v>
      </c>
      <c r="F4">
        <v>331</v>
      </c>
    </row>
    <row r="5" spans="1:6" x14ac:dyDescent="0.35">
      <c r="A5" s="14"/>
      <c r="B5" s="3"/>
      <c r="C5" s="3">
        <v>157</v>
      </c>
      <c r="D5" s="10">
        <v>45942</v>
      </c>
      <c r="E5" s="7">
        <f>SUM(E4-C5)</f>
        <v>177</v>
      </c>
    </row>
    <row r="6" spans="1:6" x14ac:dyDescent="0.35">
      <c r="A6" s="14"/>
      <c r="B6" s="3"/>
      <c r="C6" s="3"/>
      <c r="D6" s="10"/>
      <c r="E6" s="7">
        <f t="shared" ref="E6:E13" si="0">SUM(E5-C6)</f>
        <v>177</v>
      </c>
    </row>
    <row r="7" spans="1:6" x14ac:dyDescent="0.35">
      <c r="A7" s="14"/>
      <c r="B7" s="3"/>
      <c r="C7" s="3"/>
      <c r="D7" s="10"/>
      <c r="E7" s="7">
        <f t="shared" si="0"/>
        <v>177</v>
      </c>
    </row>
    <row r="8" spans="1:6" x14ac:dyDescent="0.35">
      <c r="A8" s="14"/>
      <c r="B8" s="3"/>
      <c r="C8" s="3"/>
      <c r="D8" s="3"/>
      <c r="E8" s="7">
        <f t="shared" si="0"/>
        <v>177</v>
      </c>
    </row>
    <row r="9" spans="1:6" x14ac:dyDescent="0.35">
      <c r="A9" s="14"/>
      <c r="B9" s="3"/>
      <c r="C9" s="3"/>
      <c r="D9" s="3"/>
      <c r="E9" s="7">
        <f t="shared" si="0"/>
        <v>177</v>
      </c>
    </row>
    <row r="10" spans="1:6" x14ac:dyDescent="0.35">
      <c r="A10" s="14"/>
      <c r="B10" s="3"/>
      <c r="C10" s="3"/>
      <c r="D10" s="3"/>
      <c r="E10" s="7">
        <f t="shared" si="0"/>
        <v>177</v>
      </c>
    </row>
    <row r="11" spans="1:6" x14ac:dyDescent="0.35">
      <c r="A11" s="14"/>
      <c r="B11" s="3"/>
      <c r="C11" s="3"/>
      <c r="D11" s="3"/>
      <c r="E11" s="7">
        <f t="shared" si="0"/>
        <v>177</v>
      </c>
    </row>
    <row r="12" spans="1:6" x14ac:dyDescent="0.35">
      <c r="A12" s="14"/>
      <c r="B12" s="3"/>
      <c r="C12" s="3"/>
      <c r="D12" s="3"/>
      <c r="E12" s="7">
        <f t="shared" si="0"/>
        <v>177</v>
      </c>
    </row>
    <row r="13" spans="1:6" x14ac:dyDescent="0.35">
      <c r="A13" s="14"/>
      <c r="B13" s="3"/>
      <c r="C13" s="3"/>
      <c r="D13" s="3"/>
      <c r="E13" s="7">
        <f t="shared" si="0"/>
        <v>177</v>
      </c>
    </row>
    <row r="14" spans="1:6" x14ac:dyDescent="0.35">
      <c r="A14" s="22">
        <v>21206060</v>
      </c>
      <c r="B14">
        <v>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95863-126F-4210-AFEB-FAB957DA0687}">
  <sheetPr codeName="Sheet6"/>
  <dimension ref="A1:F13"/>
  <sheetViews>
    <sheetView tabSelected="1" workbookViewId="0">
      <selection activeCell="H7" sqref="H7"/>
    </sheetView>
  </sheetViews>
  <sheetFormatPr defaultRowHeight="14.5" x14ac:dyDescent="0.35"/>
  <cols>
    <col min="1" max="1" width="14.81640625" customWidth="1"/>
    <col min="4" max="4" width="12.1796875" customWidth="1"/>
    <col min="5" max="5" width="24.08984375" customWidth="1"/>
  </cols>
  <sheetData>
    <row r="1" spans="1:6" x14ac:dyDescent="0.35">
      <c r="A1" s="1" t="s">
        <v>23</v>
      </c>
      <c r="B1" t="s">
        <v>24</v>
      </c>
    </row>
    <row r="2" spans="1:6" x14ac:dyDescent="0.35">
      <c r="A2" s="1"/>
      <c r="C2">
        <v>40</v>
      </c>
    </row>
    <row r="3" spans="1:6" x14ac:dyDescent="0.35">
      <c r="A3" s="2" t="s">
        <v>1</v>
      </c>
      <c r="B3" s="2"/>
      <c r="C3" s="2" t="s">
        <v>3</v>
      </c>
      <c r="D3" s="2" t="s">
        <v>2</v>
      </c>
      <c r="E3" s="2" t="s">
        <v>4</v>
      </c>
    </row>
    <row r="4" spans="1:6" x14ac:dyDescent="0.35">
      <c r="A4" s="14">
        <v>561000000962</v>
      </c>
      <c r="B4" s="3">
        <v>200</v>
      </c>
      <c r="C4" s="3">
        <v>0.5</v>
      </c>
      <c r="D4" s="10">
        <v>45891</v>
      </c>
      <c r="E4" s="7">
        <f>SUM(B4-C4)</f>
        <v>199.5</v>
      </c>
      <c r="F4">
        <v>269</v>
      </c>
    </row>
    <row r="5" spans="1:6" x14ac:dyDescent="0.35">
      <c r="A5" s="3"/>
      <c r="B5" s="3"/>
      <c r="C5" s="3">
        <v>5.5</v>
      </c>
      <c r="D5" s="10">
        <v>45942</v>
      </c>
      <c r="E5" s="7">
        <f>SUM(E4-C5)</f>
        <v>194</v>
      </c>
    </row>
    <row r="6" spans="1:6" x14ac:dyDescent="0.35">
      <c r="A6" s="3"/>
      <c r="B6" s="3"/>
      <c r="C6" s="3">
        <v>1800</v>
      </c>
      <c r="D6" s="10" t="s">
        <v>39</v>
      </c>
      <c r="E6" s="26">
        <f t="shared" ref="E6:E13" si="0">SUM(E5-C6)</f>
        <v>-1606</v>
      </c>
    </row>
    <row r="7" spans="1:6" x14ac:dyDescent="0.35">
      <c r="A7" s="3"/>
      <c r="B7" s="3"/>
      <c r="C7" s="3"/>
      <c r="D7" s="10"/>
      <c r="E7" s="7">
        <f t="shared" si="0"/>
        <v>-1606</v>
      </c>
    </row>
    <row r="8" spans="1:6" x14ac:dyDescent="0.35">
      <c r="A8" s="3"/>
      <c r="B8" s="3"/>
      <c r="C8" s="3"/>
      <c r="D8" s="3"/>
      <c r="E8" s="7">
        <f t="shared" si="0"/>
        <v>-1606</v>
      </c>
    </row>
    <row r="9" spans="1:6" x14ac:dyDescent="0.35">
      <c r="A9" s="3"/>
      <c r="B9" s="3"/>
      <c r="C9" s="3"/>
      <c r="D9" s="3"/>
      <c r="E9" s="7">
        <f t="shared" si="0"/>
        <v>-1606</v>
      </c>
    </row>
    <row r="10" spans="1:6" x14ac:dyDescent="0.35">
      <c r="A10" s="3"/>
      <c r="B10" s="3"/>
      <c r="C10" s="3"/>
      <c r="D10" s="3"/>
      <c r="E10" s="7">
        <f t="shared" si="0"/>
        <v>-1606</v>
      </c>
    </row>
    <row r="11" spans="1:6" x14ac:dyDescent="0.35">
      <c r="A11" s="3"/>
      <c r="B11" s="3"/>
      <c r="C11" s="3"/>
      <c r="D11" s="3"/>
      <c r="E11" s="7">
        <f t="shared" si="0"/>
        <v>-1606</v>
      </c>
    </row>
    <row r="12" spans="1:6" x14ac:dyDescent="0.35">
      <c r="A12" s="3"/>
      <c r="B12" s="3"/>
      <c r="C12" s="3"/>
      <c r="D12" s="3"/>
      <c r="E12" s="7">
        <f t="shared" si="0"/>
        <v>-1606</v>
      </c>
    </row>
    <row r="13" spans="1:6" x14ac:dyDescent="0.35">
      <c r="A13" s="3"/>
      <c r="B13" s="3"/>
      <c r="C13" s="3"/>
      <c r="D13" s="3"/>
      <c r="E13" s="7">
        <f t="shared" si="0"/>
        <v>-1606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77897-8B39-44A6-AACD-421ACAAA5572}">
  <sheetPr codeName="Sheet7"/>
  <dimension ref="A1:F13"/>
  <sheetViews>
    <sheetView workbookViewId="0">
      <selection activeCell="A4" sqref="A4"/>
    </sheetView>
  </sheetViews>
  <sheetFormatPr defaultRowHeight="14.5" x14ac:dyDescent="0.35"/>
  <cols>
    <col min="1" max="1" width="20.7265625" customWidth="1"/>
    <col min="4" max="4" width="12.453125" customWidth="1"/>
    <col min="5" max="5" width="13.54296875" customWidth="1"/>
  </cols>
  <sheetData>
    <row r="1" spans="1:6" x14ac:dyDescent="0.35">
      <c r="A1" s="1" t="s">
        <v>20</v>
      </c>
      <c r="B1">
        <v>10</v>
      </c>
      <c r="C1" t="s">
        <v>36</v>
      </c>
    </row>
    <row r="2" spans="1:6" x14ac:dyDescent="0.35">
      <c r="A2" s="1"/>
    </row>
    <row r="3" spans="1:6" x14ac:dyDescent="0.35">
      <c r="A3" s="2" t="s">
        <v>1</v>
      </c>
      <c r="B3" s="2"/>
      <c r="C3" s="2" t="s">
        <v>3</v>
      </c>
      <c r="D3" s="2" t="s">
        <v>2</v>
      </c>
      <c r="E3" s="2" t="s">
        <v>4</v>
      </c>
    </row>
    <row r="4" spans="1:6" x14ac:dyDescent="0.35">
      <c r="A4" s="14">
        <v>561000001017</v>
      </c>
      <c r="B4" s="3">
        <v>8000</v>
      </c>
      <c r="C4" s="3">
        <v>1012</v>
      </c>
      <c r="D4" s="10">
        <v>45889</v>
      </c>
      <c r="E4" s="7">
        <f>SUM(B4-C4)</f>
        <v>6988</v>
      </c>
      <c r="F4">
        <v>331</v>
      </c>
    </row>
    <row r="5" spans="1:6" x14ac:dyDescent="0.35">
      <c r="A5" s="3"/>
      <c r="B5" s="3"/>
      <c r="C5" s="3">
        <v>3910.5</v>
      </c>
      <c r="D5" s="10">
        <v>45818</v>
      </c>
      <c r="E5" s="7">
        <f>SUM(E4-C5)</f>
        <v>3077.5</v>
      </c>
    </row>
    <row r="6" spans="1:6" x14ac:dyDescent="0.35">
      <c r="A6" s="3"/>
      <c r="B6" s="3"/>
      <c r="C6" s="3">
        <v>2572</v>
      </c>
      <c r="D6" s="10" t="s">
        <v>37</v>
      </c>
      <c r="E6" s="7">
        <f t="shared" ref="E6:E13" si="0">SUM(E5-C6)</f>
        <v>505.5</v>
      </c>
    </row>
    <row r="7" spans="1:6" x14ac:dyDescent="0.35">
      <c r="A7" s="3"/>
      <c r="B7" s="3"/>
      <c r="C7" s="3">
        <v>415.5</v>
      </c>
      <c r="D7" s="10">
        <v>45942</v>
      </c>
      <c r="E7" s="7">
        <f t="shared" si="0"/>
        <v>90</v>
      </c>
    </row>
    <row r="8" spans="1:6" x14ac:dyDescent="0.35">
      <c r="A8" s="3"/>
      <c r="B8" s="3"/>
      <c r="C8" s="3"/>
      <c r="D8" s="3"/>
      <c r="E8" s="7">
        <f t="shared" si="0"/>
        <v>90</v>
      </c>
    </row>
    <row r="9" spans="1:6" x14ac:dyDescent="0.35">
      <c r="A9" s="3"/>
      <c r="B9" s="3"/>
      <c r="C9" s="3"/>
      <c r="D9" s="3"/>
      <c r="E9" s="7">
        <f t="shared" si="0"/>
        <v>90</v>
      </c>
    </row>
    <row r="10" spans="1:6" x14ac:dyDescent="0.35">
      <c r="A10" s="3"/>
      <c r="B10" s="3"/>
      <c r="C10" s="3"/>
      <c r="D10" s="3"/>
      <c r="E10" s="7">
        <f t="shared" si="0"/>
        <v>90</v>
      </c>
    </row>
    <row r="11" spans="1:6" x14ac:dyDescent="0.35">
      <c r="A11" s="3"/>
      <c r="B11" s="3"/>
      <c r="C11" s="3"/>
      <c r="D11" s="3"/>
      <c r="E11" s="7">
        <f t="shared" si="0"/>
        <v>90</v>
      </c>
    </row>
    <row r="12" spans="1:6" x14ac:dyDescent="0.35">
      <c r="A12" s="3"/>
      <c r="B12" s="3"/>
      <c r="C12" s="3"/>
      <c r="D12" s="3"/>
      <c r="E12" s="7">
        <f t="shared" si="0"/>
        <v>90</v>
      </c>
    </row>
    <row r="13" spans="1:6" x14ac:dyDescent="0.35">
      <c r="A13" s="3"/>
      <c r="B13" s="3"/>
      <c r="C13" s="3"/>
      <c r="D13" s="3"/>
      <c r="E13" s="7">
        <f t="shared" si="0"/>
        <v>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26BFF-0DDC-47EF-B7FE-90E6BF62B358}">
  <sheetPr codeName="Sheet8"/>
  <dimension ref="A1:F13"/>
  <sheetViews>
    <sheetView workbookViewId="0">
      <selection activeCell="A4" sqref="A4"/>
    </sheetView>
  </sheetViews>
  <sheetFormatPr defaultRowHeight="14.5" x14ac:dyDescent="0.35"/>
  <cols>
    <col min="1" max="1" width="11.81640625" bestFit="1" customWidth="1"/>
    <col min="4" max="4" width="14.08984375" customWidth="1"/>
    <col min="5" max="5" width="14.7265625" customWidth="1"/>
  </cols>
  <sheetData>
    <row r="1" spans="1:6" x14ac:dyDescent="0.35">
      <c r="A1" s="1" t="s">
        <v>25</v>
      </c>
      <c r="B1">
        <v>11</v>
      </c>
      <c r="C1" t="s">
        <v>31</v>
      </c>
    </row>
    <row r="2" spans="1:6" x14ac:dyDescent="0.35">
      <c r="A2" s="1"/>
      <c r="B2">
        <v>7</v>
      </c>
      <c r="C2" t="s">
        <v>32</v>
      </c>
    </row>
    <row r="3" spans="1:6" x14ac:dyDescent="0.35">
      <c r="A3" s="2" t="s">
        <v>1</v>
      </c>
      <c r="B3" s="2"/>
      <c r="C3" s="2" t="s">
        <v>3</v>
      </c>
      <c r="D3" s="2" t="s">
        <v>2</v>
      </c>
      <c r="E3" s="2" t="s">
        <v>4</v>
      </c>
    </row>
    <row r="4" spans="1:6" x14ac:dyDescent="0.35">
      <c r="A4" s="3">
        <v>56100000101</v>
      </c>
      <c r="B4" s="3">
        <v>2000</v>
      </c>
      <c r="C4" s="3">
        <v>488</v>
      </c>
      <c r="D4" s="10">
        <v>45891</v>
      </c>
      <c r="E4" s="7">
        <f>SUM(B4-C4)</f>
        <v>1512</v>
      </c>
      <c r="F4" s="23">
        <v>332</v>
      </c>
    </row>
    <row r="5" spans="1:6" x14ac:dyDescent="0.35">
      <c r="A5" s="3"/>
      <c r="B5" s="3"/>
      <c r="C5" s="3">
        <v>220</v>
      </c>
      <c r="D5" s="10">
        <v>45891</v>
      </c>
      <c r="E5" s="7">
        <f>SUM(E4-C5)</f>
        <v>1292</v>
      </c>
      <c r="F5">
        <v>332</v>
      </c>
    </row>
    <row r="6" spans="1:6" x14ac:dyDescent="0.35">
      <c r="A6" s="3"/>
      <c r="B6" s="3"/>
      <c r="C6" s="3">
        <v>209</v>
      </c>
      <c r="D6" s="10">
        <v>45932</v>
      </c>
      <c r="E6" s="7">
        <f t="shared" ref="E6:E13" si="0">SUM(E5-C6)</f>
        <v>1083</v>
      </c>
      <c r="F6">
        <v>380</v>
      </c>
    </row>
    <row r="7" spans="1:6" x14ac:dyDescent="0.35">
      <c r="A7" s="3"/>
      <c r="B7" s="3"/>
      <c r="C7" s="3">
        <v>280</v>
      </c>
      <c r="D7" s="10">
        <v>45942</v>
      </c>
      <c r="E7" s="7">
        <f t="shared" si="0"/>
        <v>803</v>
      </c>
    </row>
    <row r="8" spans="1:6" x14ac:dyDescent="0.35">
      <c r="A8" s="3"/>
      <c r="B8" s="3"/>
      <c r="C8" s="3"/>
      <c r="D8" s="3"/>
      <c r="E8" s="7">
        <f t="shared" si="0"/>
        <v>803</v>
      </c>
    </row>
    <row r="9" spans="1:6" x14ac:dyDescent="0.35">
      <c r="A9" s="3"/>
      <c r="B9" s="3"/>
      <c r="C9" s="3"/>
      <c r="D9" s="3"/>
      <c r="E9" s="7">
        <f t="shared" si="0"/>
        <v>803</v>
      </c>
    </row>
    <row r="10" spans="1:6" x14ac:dyDescent="0.35">
      <c r="A10" s="3"/>
      <c r="B10" s="3"/>
      <c r="C10" s="3"/>
      <c r="D10" s="3"/>
      <c r="E10" s="7">
        <f t="shared" si="0"/>
        <v>803</v>
      </c>
    </row>
    <row r="11" spans="1:6" x14ac:dyDescent="0.35">
      <c r="A11" s="3"/>
      <c r="B11" s="3"/>
      <c r="C11" s="3"/>
      <c r="D11" s="3"/>
      <c r="E11" s="7">
        <f t="shared" si="0"/>
        <v>803</v>
      </c>
    </row>
    <row r="12" spans="1:6" x14ac:dyDescent="0.35">
      <c r="A12" s="3"/>
      <c r="B12" s="3"/>
      <c r="C12" s="3"/>
      <c r="D12" s="3"/>
      <c r="E12" s="7">
        <f t="shared" si="0"/>
        <v>803</v>
      </c>
    </row>
    <row r="13" spans="1:6" x14ac:dyDescent="0.35">
      <c r="A13" s="3"/>
      <c r="B13" s="3"/>
      <c r="C13" s="3"/>
      <c r="D13" s="3"/>
      <c r="E13" s="7">
        <f t="shared" si="0"/>
        <v>803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9E956-D480-4D1A-97E8-D32B853BD4A1}">
  <sheetPr codeName="Sheet9"/>
  <dimension ref="A1:H13"/>
  <sheetViews>
    <sheetView workbookViewId="0">
      <selection activeCell="E7" sqref="E7"/>
    </sheetView>
  </sheetViews>
  <sheetFormatPr defaultRowHeight="14.5" x14ac:dyDescent="0.35"/>
  <cols>
    <col min="4" max="4" width="12.453125" customWidth="1"/>
    <col min="5" max="5" width="18.36328125" customWidth="1"/>
  </cols>
  <sheetData>
    <row r="1" spans="1:8" x14ac:dyDescent="0.35">
      <c r="A1" s="1" t="s">
        <v>42</v>
      </c>
    </row>
    <row r="2" spans="1:8" x14ac:dyDescent="0.35">
      <c r="A2" s="1"/>
    </row>
    <row r="3" spans="1:8" x14ac:dyDescent="0.35">
      <c r="A3" s="2" t="s">
        <v>1</v>
      </c>
      <c r="B3" s="2"/>
      <c r="C3" s="2" t="s">
        <v>3</v>
      </c>
      <c r="D3" s="2" t="s">
        <v>2</v>
      </c>
      <c r="E3" s="2" t="s">
        <v>4</v>
      </c>
    </row>
    <row r="4" spans="1:8" x14ac:dyDescent="0.35">
      <c r="A4" s="3">
        <v>0</v>
      </c>
      <c r="B4" s="3">
        <v>0</v>
      </c>
      <c r="C4" s="3">
        <v>293</v>
      </c>
      <c r="D4" s="10">
        <v>45891</v>
      </c>
      <c r="E4" s="7">
        <f>SUM(B4-C4)</f>
        <v>-293</v>
      </c>
      <c r="F4" t="s">
        <v>22</v>
      </c>
      <c r="H4">
        <v>332</v>
      </c>
    </row>
    <row r="5" spans="1:8" x14ac:dyDescent="0.35">
      <c r="A5" s="3"/>
      <c r="B5" s="3"/>
      <c r="C5" s="3"/>
      <c r="D5" s="10"/>
      <c r="E5" s="7">
        <f>SUM(E4-C5)</f>
        <v>-293</v>
      </c>
    </row>
    <row r="6" spans="1:8" x14ac:dyDescent="0.35">
      <c r="A6" s="3"/>
      <c r="B6" s="3"/>
      <c r="C6" s="3"/>
      <c r="D6" s="10"/>
      <c r="E6" s="7">
        <f t="shared" ref="E6:E13" si="0">SUM(E5-C6)</f>
        <v>-293</v>
      </c>
    </row>
    <row r="7" spans="1:8" x14ac:dyDescent="0.35">
      <c r="A7" s="3"/>
      <c r="B7" s="3"/>
      <c r="C7" s="3"/>
      <c r="D7" s="10"/>
      <c r="E7" s="7">
        <f t="shared" si="0"/>
        <v>-293</v>
      </c>
    </row>
    <row r="8" spans="1:8" x14ac:dyDescent="0.35">
      <c r="A8" s="3"/>
      <c r="B8" s="3"/>
      <c r="C8" s="3"/>
      <c r="D8" s="3"/>
      <c r="E8" s="7">
        <f t="shared" si="0"/>
        <v>-293</v>
      </c>
    </row>
    <row r="9" spans="1:8" x14ac:dyDescent="0.35">
      <c r="A9" s="3"/>
      <c r="B9" s="3"/>
      <c r="C9" s="3"/>
      <c r="D9" s="3"/>
      <c r="E9" s="7">
        <f t="shared" si="0"/>
        <v>-293</v>
      </c>
    </row>
    <row r="10" spans="1:8" x14ac:dyDescent="0.35">
      <c r="A10" s="3"/>
      <c r="B10" s="3"/>
      <c r="C10" s="3"/>
      <c r="D10" s="3"/>
      <c r="E10" s="7">
        <f t="shared" si="0"/>
        <v>-293</v>
      </c>
    </row>
    <row r="11" spans="1:8" x14ac:dyDescent="0.35">
      <c r="A11" s="3"/>
      <c r="B11" s="3"/>
      <c r="C11" s="3"/>
      <c r="D11" s="3"/>
      <c r="E11" s="7">
        <f t="shared" si="0"/>
        <v>-293</v>
      </c>
    </row>
    <row r="12" spans="1:8" x14ac:dyDescent="0.35">
      <c r="A12" s="3"/>
      <c r="B12" s="3"/>
      <c r="C12" s="3"/>
      <c r="D12" s="3"/>
      <c r="E12" s="7">
        <f t="shared" si="0"/>
        <v>-293</v>
      </c>
    </row>
    <row r="13" spans="1:8" x14ac:dyDescent="0.35">
      <c r="A13" s="3"/>
      <c r="B13" s="3"/>
      <c r="C13" s="3"/>
      <c r="D13" s="3"/>
      <c r="E13" s="7">
        <f t="shared" si="0"/>
        <v>-293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A4F6A-2498-4F84-A983-FD5CFD49DF98}">
  <sheetPr codeName="Sheet10"/>
  <dimension ref="A1:F13"/>
  <sheetViews>
    <sheetView topLeftCell="A4" workbookViewId="0">
      <selection activeCell="A15" sqref="A15"/>
    </sheetView>
  </sheetViews>
  <sheetFormatPr defaultRowHeight="14.5" x14ac:dyDescent="0.35"/>
  <cols>
    <col min="1" max="1" width="17.1796875" customWidth="1"/>
    <col min="4" max="4" width="12.6328125" customWidth="1"/>
    <col min="5" max="5" width="11.81640625" customWidth="1"/>
  </cols>
  <sheetData>
    <row r="1" spans="1:6" x14ac:dyDescent="0.35">
      <c r="A1" s="1" t="s">
        <v>26</v>
      </c>
      <c r="B1" t="s">
        <v>27</v>
      </c>
    </row>
    <row r="2" spans="1:6" x14ac:dyDescent="0.35">
      <c r="A2" s="1"/>
    </row>
    <row r="3" spans="1:6" x14ac:dyDescent="0.35">
      <c r="A3" s="2" t="s">
        <v>1</v>
      </c>
      <c r="B3" s="2"/>
      <c r="C3" s="2" t="s">
        <v>3</v>
      </c>
      <c r="D3" s="2" t="s">
        <v>2</v>
      </c>
      <c r="E3" s="2" t="s">
        <v>4</v>
      </c>
    </row>
    <row r="4" spans="1:6" x14ac:dyDescent="0.35">
      <c r="A4" s="14">
        <v>561000000961</v>
      </c>
      <c r="B4" s="3">
        <v>1000</v>
      </c>
      <c r="C4" s="3">
        <v>433</v>
      </c>
      <c r="D4" s="10">
        <v>45891</v>
      </c>
      <c r="E4" s="7">
        <f>SUM(B4-C4)</f>
        <v>567</v>
      </c>
      <c r="F4">
        <v>269</v>
      </c>
    </row>
    <row r="5" spans="1:6" x14ac:dyDescent="0.35">
      <c r="A5" s="3"/>
      <c r="B5" s="3"/>
      <c r="C5" s="3">
        <v>240</v>
      </c>
      <c r="D5" s="10">
        <v>45942</v>
      </c>
      <c r="E5" s="7">
        <f>SUM(E4-C5)</f>
        <v>327</v>
      </c>
    </row>
    <row r="6" spans="1:6" x14ac:dyDescent="0.35">
      <c r="A6" s="3"/>
      <c r="B6" s="3"/>
      <c r="C6" s="3">
        <v>713</v>
      </c>
      <c r="D6" s="10" t="s">
        <v>39</v>
      </c>
      <c r="E6" s="7">
        <f t="shared" ref="E6:E13" si="0">SUM(E5-C6)</f>
        <v>-386</v>
      </c>
    </row>
    <row r="7" spans="1:6" x14ac:dyDescent="0.35">
      <c r="A7" s="3"/>
      <c r="B7" s="3"/>
      <c r="C7" s="3"/>
      <c r="D7" s="10"/>
      <c r="E7" s="7">
        <f t="shared" si="0"/>
        <v>-386</v>
      </c>
    </row>
    <row r="8" spans="1:6" x14ac:dyDescent="0.35">
      <c r="A8" s="3"/>
      <c r="B8" s="3"/>
      <c r="C8" s="3"/>
      <c r="D8" s="3"/>
      <c r="E8" s="7">
        <f t="shared" si="0"/>
        <v>-386</v>
      </c>
    </row>
    <row r="9" spans="1:6" x14ac:dyDescent="0.35">
      <c r="A9" s="3"/>
      <c r="B9" s="3"/>
      <c r="C9" s="3"/>
      <c r="D9" s="3"/>
      <c r="E9" s="7">
        <f t="shared" si="0"/>
        <v>-386</v>
      </c>
    </row>
    <row r="10" spans="1:6" x14ac:dyDescent="0.35">
      <c r="A10" s="3"/>
      <c r="B10" s="3"/>
      <c r="C10" s="3"/>
      <c r="D10" s="3"/>
      <c r="E10" s="7">
        <f t="shared" si="0"/>
        <v>-386</v>
      </c>
    </row>
    <row r="11" spans="1:6" x14ac:dyDescent="0.35">
      <c r="A11" s="3"/>
      <c r="B11" s="3"/>
      <c r="C11" s="3"/>
      <c r="D11" s="3"/>
      <c r="E11" s="7">
        <f t="shared" si="0"/>
        <v>-386</v>
      </c>
    </row>
    <row r="12" spans="1:6" x14ac:dyDescent="0.35">
      <c r="A12" s="3"/>
      <c r="B12" s="3"/>
      <c r="C12" s="3"/>
      <c r="D12" s="3"/>
      <c r="E12" s="7">
        <f t="shared" si="0"/>
        <v>-386</v>
      </c>
    </row>
    <row r="13" spans="1:6" x14ac:dyDescent="0.35">
      <c r="A13" s="3"/>
      <c r="B13" s="3"/>
      <c r="C13" s="3"/>
      <c r="D13" s="3"/>
      <c r="E13" s="7">
        <f t="shared" si="0"/>
        <v>-386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8449D-C0EA-4E8B-9B25-9D5B24A4CBFF}">
  <sheetPr codeName="Sheet11"/>
  <dimension ref="A1:F13"/>
  <sheetViews>
    <sheetView workbookViewId="0"/>
  </sheetViews>
  <sheetFormatPr defaultRowHeight="14.5" x14ac:dyDescent="0.35"/>
  <cols>
    <col min="1" max="1" width="19.54296875" style="22" customWidth="1"/>
    <col min="4" max="4" width="20.6328125" customWidth="1"/>
    <col min="5" max="5" width="15" bestFit="1" customWidth="1"/>
  </cols>
  <sheetData>
    <row r="1" spans="1:6" x14ac:dyDescent="0.35">
      <c r="A1" s="20" t="s">
        <v>33</v>
      </c>
      <c r="B1">
        <v>10</v>
      </c>
    </row>
    <row r="2" spans="1:6" x14ac:dyDescent="0.35">
      <c r="A2" s="20"/>
    </row>
    <row r="3" spans="1:6" x14ac:dyDescent="0.35">
      <c r="A3" s="21" t="s">
        <v>1</v>
      </c>
      <c r="B3" s="2"/>
      <c r="C3" s="2" t="s">
        <v>3</v>
      </c>
      <c r="D3" s="2" t="s">
        <v>2</v>
      </c>
      <c r="E3" s="2" t="s">
        <v>4</v>
      </c>
    </row>
    <row r="4" spans="1:6" x14ac:dyDescent="0.35">
      <c r="A4" s="14">
        <v>561000001017</v>
      </c>
      <c r="B4" s="3">
        <v>8000</v>
      </c>
      <c r="C4" s="3">
        <v>1012</v>
      </c>
      <c r="D4" s="10" t="s">
        <v>34</v>
      </c>
      <c r="E4" s="7">
        <f>SUM(B4-C4)</f>
        <v>6988</v>
      </c>
      <c r="F4">
        <v>331</v>
      </c>
    </row>
    <row r="5" spans="1:6" x14ac:dyDescent="0.35">
      <c r="A5" s="14"/>
      <c r="B5" s="3"/>
      <c r="C5" s="3">
        <v>5000</v>
      </c>
      <c r="D5" s="10" t="s">
        <v>40</v>
      </c>
      <c r="E5" s="7">
        <f>SUM(E4-C5)</f>
        <v>1988</v>
      </c>
    </row>
    <row r="6" spans="1:6" x14ac:dyDescent="0.35">
      <c r="A6" s="14"/>
      <c r="B6" s="3"/>
      <c r="C6" s="3"/>
      <c r="D6" s="10"/>
      <c r="E6" s="7">
        <f t="shared" ref="E6:E13" si="0">SUM(E5-C6)</f>
        <v>1988</v>
      </c>
    </row>
    <row r="7" spans="1:6" x14ac:dyDescent="0.35">
      <c r="A7" s="14"/>
      <c r="B7" s="3"/>
      <c r="C7" s="3"/>
      <c r="D7" s="10"/>
      <c r="E7" s="7">
        <f t="shared" si="0"/>
        <v>1988</v>
      </c>
    </row>
    <row r="8" spans="1:6" x14ac:dyDescent="0.35">
      <c r="A8" s="14"/>
      <c r="B8" s="3"/>
      <c r="C8" s="3"/>
      <c r="D8" s="3"/>
      <c r="E8" s="7">
        <f t="shared" si="0"/>
        <v>1988</v>
      </c>
    </row>
    <row r="9" spans="1:6" x14ac:dyDescent="0.35">
      <c r="A9" s="14"/>
      <c r="B9" s="3"/>
      <c r="C9" s="3"/>
      <c r="D9" s="3"/>
      <c r="E9" s="7">
        <f t="shared" si="0"/>
        <v>1988</v>
      </c>
    </row>
    <row r="10" spans="1:6" x14ac:dyDescent="0.35">
      <c r="A10" s="14"/>
      <c r="B10" s="3"/>
      <c r="C10" s="3"/>
      <c r="D10" s="3"/>
      <c r="E10" s="7">
        <f t="shared" si="0"/>
        <v>1988</v>
      </c>
    </row>
    <row r="11" spans="1:6" x14ac:dyDescent="0.35">
      <c r="A11" s="14"/>
      <c r="B11" s="3"/>
      <c r="C11" s="3"/>
      <c r="D11" s="3"/>
      <c r="E11" s="7">
        <f t="shared" si="0"/>
        <v>1988</v>
      </c>
    </row>
    <row r="12" spans="1:6" x14ac:dyDescent="0.35">
      <c r="A12" s="14"/>
      <c r="B12" s="3"/>
      <c r="C12" s="3"/>
      <c r="D12" s="3"/>
      <c r="E12" s="7">
        <f t="shared" si="0"/>
        <v>1988</v>
      </c>
    </row>
    <row r="13" spans="1:6" x14ac:dyDescent="0.35">
      <c r="A13" s="14"/>
      <c r="B13" s="3"/>
      <c r="C13" s="3"/>
      <c r="D13" s="3"/>
      <c r="E13" s="7">
        <f t="shared" si="0"/>
        <v>1988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STP SLUDGE</vt:lpstr>
      <vt:lpstr>WW</vt:lpstr>
      <vt:lpstr>B299</vt:lpstr>
      <vt:lpstr>F604</vt:lpstr>
      <vt:lpstr>d407</vt:lpstr>
      <vt:lpstr>M501</vt:lpstr>
      <vt:lpstr>M506</vt:lpstr>
      <vt:lpstr>G704</vt:lpstr>
      <vt:lpstr>I102&amp;I101</vt:lpstr>
      <vt:lpstr>h802</vt:lpstr>
      <vt:lpstr>D499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sisonvladidylanne@gmail.com</dc:creator>
  <cp:lastModifiedBy>sisonvladidylanne@gmail.com</cp:lastModifiedBy>
  <dcterms:created xsi:type="dcterms:W3CDTF">2025-09-17T08:08:47Z</dcterms:created>
  <dcterms:modified xsi:type="dcterms:W3CDTF">2026-03-05T08:55:52Z</dcterms:modified>
</cp:coreProperties>
</file>